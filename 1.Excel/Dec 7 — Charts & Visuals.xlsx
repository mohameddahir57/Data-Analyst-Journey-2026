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5.xml" ContentType="application/vnd.openxmlformats-officedocument.spreadsheetml.table+xml"/>
  <Override PartName="/xl/pivotTables/pivotTable10.xml" ContentType="application/vnd.openxmlformats-officedocument.spreadsheetml.pivot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-Analyst-Journey-2026\1.Excel\"/>
    </mc:Choice>
  </mc:AlternateContent>
  <xr:revisionPtr revIDLastSave="0" documentId="8_{97F9F048-8B5F-45DD-8402-E6F4929FCF5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Pivot Table And Chart " sheetId="1" r:id="rId1"/>
    <sheet name="Customizing Pivot Table" sheetId="2" r:id="rId2"/>
    <sheet name="Sorting Pivot Table" sheetId="3" r:id="rId3"/>
    <sheet name="Grouping Pivot Table" sheetId="4" r:id="rId4"/>
    <sheet name="Filtering Pivot Table" sheetId="5" r:id="rId5"/>
    <sheet name="Changing Calculations" sheetId="6" r:id="rId6"/>
  </sheet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1" i="6" l="1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6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</calcChain>
</file>

<file path=xl/sharedStrings.xml><?xml version="1.0" encoding="utf-8"?>
<sst xmlns="http://schemas.openxmlformats.org/spreadsheetml/2006/main" count="1253" uniqueCount="94">
  <si>
    <t>InvoiceID</t>
  </si>
  <si>
    <t>Date</t>
  </si>
  <si>
    <t>Product</t>
  </si>
  <si>
    <t>UnitsSold</t>
  </si>
  <si>
    <t>UnitPrice</t>
  </si>
  <si>
    <t>SalesPerson</t>
  </si>
  <si>
    <t>City</t>
  </si>
  <si>
    <t>Country</t>
  </si>
  <si>
    <t>INV100</t>
  </si>
  <si>
    <t>INV101</t>
  </si>
  <si>
    <t>INV102</t>
  </si>
  <si>
    <t>INV103</t>
  </si>
  <si>
    <t>INV104</t>
  </si>
  <si>
    <t>INV105</t>
  </si>
  <si>
    <t>INV106</t>
  </si>
  <si>
    <t>INV107</t>
  </si>
  <si>
    <t>INV108</t>
  </si>
  <si>
    <t>INV109</t>
  </si>
  <si>
    <t>INV110</t>
  </si>
  <si>
    <t>INV111</t>
  </si>
  <si>
    <t>INV112</t>
  </si>
  <si>
    <t>INV113</t>
  </si>
  <si>
    <t>INV114</t>
  </si>
  <si>
    <t>INV115</t>
  </si>
  <si>
    <t>INV116</t>
  </si>
  <si>
    <t>INV117</t>
  </si>
  <si>
    <t>INV118</t>
  </si>
  <si>
    <t>INV119</t>
  </si>
  <si>
    <t>INV120</t>
  </si>
  <si>
    <t>INV121</t>
  </si>
  <si>
    <t>INV122</t>
  </si>
  <si>
    <t>INV123</t>
  </si>
  <si>
    <t>INV124</t>
  </si>
  <si>
    <t>INV125</t>
  </si>
  <si>
    <t>INV126</t>
  </si>
  <si>
    <t>INV127</t>
  </si>
  <si>
    <t>INV128</t>
  </si>
  <si>
    <t>INV129</t>
  </si>
  <si>
    <t>2024-10-16</t>
  </si>
  <si>
    <t>2023-08-17</t>
  </si>
  <si>
    <t>2023-02-02</t>
  </si>
  <si>
    <t>2024-06-01</t>
  </si>
  <si>
    <t>2023-08-14</t>
  </si>
  <si>
    <t>2024-12-15</t>
  </si>
  <si>
    <t>2023-08-09</t>
  </si>
  <si>
    <t>2023-04-10</t>
  </si>
  <si>
    <t>2024-04-15</t>
  </si>
  <si>
    <t>2024-07-19</t>
  </si>
  <si>
    <t>2023-02-16</t>
  </si>
  <si>
    <t>2023-08-27</t>
  </si>
  <si>
    <t>2024-10-12</t>
  </si>
  <si>
    <t>2023-08-03</t>
  </si>
  <si>
    <t>2024-06-30</t>
  </si>
  <si>
    <t>2024-01-24</t>
  </si>
  <si>
    <t>2023-08-23</t>
  </si>
  <si>
    <t>2023-03-09</t>
  </si>
  <si>
    <t>2024-02-10</t>
  </si>
  <si>
    <t>2023-05-23</t>
  </si>
  <si>
    <t>2024-01-06</t>
  </si>
  <si>
    <t>2023-02-18</t>
  </si>
  <si>
    <t>2024-09-02</t>
  </si>
  <si>
    <t>2024-06-25</t>
  </si>
  <si>
    <t>2024-10-18</t>
  </si>
  <si>
    <t>2023-06-11</t>
  </si>
  <si>
    <t>2024-06-03</t>
  </si>
  <si>
    <t>2024-01-18</t>
  </si>
  <si>
    <t>2023-01-20</t>
  </si>
  <si>
    <t>2023-03-01</t>
  </si>
  <si>
    <t>Laptop</t>
  </si>
  <si>
    <t>Headphones</t>
  </si>
  <si>
    <t>Tablet</t>
  </si>
  <si>
    <t>Keyboard</t>
  </si>
  <si>
    <t>Monitor</t>
  </si>
  <si>
    <t>Printer</t>
  </si>
  <si>
    <t>Mogadishu</t>
  </si>
  <si>
    <t>Addis Ababa</t>
  </si>
  <si>
    <t>Nairobi</t>
  </si>
  <si>
    <t>Kampala</t>
  </si>
  <si>
    <t xml:space="preserve"> Somalia</t>
  </si>
  <si>
    <t xml:space="preserve"> Ethiopia</t>
  </si>
  <si>
    <t xml:space="preserve"> Kenya</t>
  </si>
  <si>
    <t xml:space="preserve"> Uganda</t>
  </si>
  <si>
    <t>Qamaan</t>
  </si>
  <si>
    <t>Yusuf</t>
  </si>
  <si>
    <t>Guled</t>
  </si>
  <si>
    <t>Tatal Price</t>
  </si>
  <si>
    <t>Grand Total</t>
  </si>
  <si>
    <t>Sum of Tatal Price</t>
  </si>
  <si>
    <t>Headphones Total</t>
  </si>
  <si>
    <t>Keyboard Total</t>
  </si>
  <si>
    <t>Laptop Total</t>
  </si>
  <si>
    <t>Monitor Total</t>
  </si>
  <si>
    <t>Tablet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</si>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</sst>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[$$-409]#,##0_ ;\-[$$-409]#,##0\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165" fontId="0" fillId="0" borderId="0" xfId="0" applyNumberFormat="1"/>
    <xf numFmtId="0" fontId="2" fillId="0" borderId="2" xfId="0" pivotButton="1" applyFont="1" applyBorder="1"/>
    <xf numFmtId="0" fontId="2" fillId="0" borderId="2" xfId="0" applyFont="1" applyBorder="1"/>
    <xf numFmtId="164" fontId="2" fillId="0" borderId="2" xfId="0" applyNumberFormat="1" applyFont="1" applyBorder="1"/>
    <xf numFmtId="0" fontId="3" fillId="0" borderId="0" xfId="0" pivotButton="1" applyFont="1"/>
    <xf numFmtId="0" fontId="3" fillId="0" borderId="0" xfId="0" applyFont="1"/>
    <xf numFmtId="164" fontId="3" fillId="0" borderId="0" xfId="0" applyNumberFormat="1" applyFont="1"/>
    <xf numFmtId="0" fontId="3" fillId="0" borderId="2" xfId="0" pivotButton="1" applyFont="1" applyBorder="1"/>
    <xf numFmtId="0" fontId="3" fillId="0" borderId="2" xfId="0" applyFont="1" applyBorder="1"/>
    <xf numFmtId="164" fontId="3" fillId="0" borderId="2" xfId="0" applyNumberFormat="1" applyFont="1" applyBorder="1"/>
  </cellXfs>
  <cellStyles count="1">
    <cellStyle name="Normal" xfId="0" builtinId="0"/>
  </cellStyles>
  <dxfs count="63">
    <dxf>
      <numFmt numFmtId="164" formatCode="_-[$$-409]* #,##0.00_ ;_-[$$-409]* \-#,##0.00\ ;_-[$$-409]* &quot;-&quot;??_ ;_-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4" formatCode="_-[$$-409]* #,##0.00_ ;_-[$$-409]* \-#,##0.00\ ;_-[$$-409]* &quot;-&quot;??_ ;_-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_-[$$-409]* #,##0.00_ ;_-[$$-409]* \-#,##0.00\ ;_-[$$-409]* &quot;-&quot;??_ ;_-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name val="Times New Roman"/>
        <family val="1"/>
        <scheme val="none"/>
      </font>
    </dxf>
    <dxf>
      <numFmt numFmtId="164" formatCode="_-[$$-409]* #,##0.00_ ;_-[$$-409]* \-#,##0.00\ ;_-[$$-409]* &quot;-&quot;??_ ;_-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4" formatCode="_-[$$-409]* #,##0.00_ ;_-[$$-409]* \-#,##0.00\ ;_-[$$-409]* &quot;-&quot;??_ ;_-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_-[$$-409]* #,##0.00_ ;_-[$$-409]* \-#,##0.00\ ;_-[$$-409]* &quot;-&quot;??_ ;_-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 7 — Charts &amp; Visuals.xlsx]Pivot Table And Chart 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/>
                </a:solidFill>
              </a:rPr>
              <a:t>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Chart '!$L$3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And Chart '!$K$4:$K$10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Printer</c:v>
                </c:pt>
                <c:pt idx="5">
                  <c:v>Tablet</c:v>
                </c:pt>
              </c:strCache>
            </c:strRef>
          </c:cat>
          <c:val>
            <c:numRef>
              <c:f>'Pivot Table And Chart '!$L$4:$L$10</c:f>
              <c:numCache>
                <c:formatCode>_-[$$-409]* #,##0.00_ ;_-[$$-409]* \-#,##0.00\ ;_-[$$-409]* "-"??_ ;_-@_ </c:formatCode>
                <c:ptCount val="6"/>
                <c:pt idx="0">
                  <c:v>5100</c:v>
                </c:pt>
                <c:pt idx="1">
                  <c:v>870</c:v>
                </c:pt>
                <c:pt idx="2">
                  <c:v>91200</c:v>
                </c:pt>
                <c:pt idx="3">
                  <c:v>12450</c:v>
                </c:pt>
                <c:pt idx="4">
                  <c:v>9800</c:v>
                </c:pt>
                <c:pt idx="5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7C-4D03-AECB-C94BBF0B9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078264"/>
        <c:axId val="595078624"/>
      </c:lineChart>
      <c:catAx>
        <c:axId val="595078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95078624"/>
        <c:crosses val="autoZero"/>
        <c:auto val="1"/>
        <c:lblAlgn val="ctr"/>
        <c:lblOffset val="100"/>
        <c:noMultiLvlLbl val="0"/>
      </c:catAx>
      <c:valAx>
        <c:axId val="5950786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crossAx val="595078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 7 — Charts &amp; Visuals.xlsx]Pivot Table And Chart 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1"/>
        <c:ser>
          <c:idx val="0"/>
          <c:order val="0"/>
          <c:tx>
            <c:strRef>
              <c:f>'Pivot Table And Chart '!$L$18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1025-48C8-891B-8AA25885CB9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025-48C8-891B-8AA25885CB9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1025-48C8-891B-8AA25885CB9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1025-48C8-891B-8AA25885CB9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 And Chart '!$K$19:$K$23</c:f>
              <c:strCache>
                <c:ptCount val="4"/>
                <c:pt idx="0">
                  <c:v> Ethiopia</c:v>
                </c:pt>
                <c:pt idx="1">
                  <c:v> Kenya</c:v>
                </c:pt>
                <c:pt idx="2">
                  <c:v> Somalia</c:v>
                </c:pt>
                <c:pt idx="3">
                  <c:v> Uganda</c:v>
                </c:pt>
              </c:strCache>
            </c:strRef>
          </c:cat>
          <c:val>
            <c:numRef>
              <c:f>'Pivot Table And Chart '!$L$19:$L$23</c:f>
              <c:numCache>
                <c:formatCode>_-[$$-409]* #,##0.00_ ;_-[$$-409]* \-#,##0.00\ ;_-[$$-409]* "-"??_ ;_-@_ </c:formatCode>
                <c:ptCount val="4"/>
                <c:pt idx="0">
                  <c:v>33570</c:v>
                </c:pt>
                <c:pt idx="1">
                  <c:v>23250</c:v>
                </c:pt>
                <c:pt idx="2">
                  <c:v>37100</c:v>
                </c:pt>
                <c:pt idx="3">
                  <c:v>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9-424C-81A4-C56DF4FC2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5436656"/>
        <c:axId val="595434136"/>
        <c:axId val="0"/>
      </c:bar3DChart>
      <c:catAx>
        <c:axId val="595436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5434136"/>
        <c:crosses val="autoZero"/>
        <c:auto val="1"/>
        <c:lblAlgn val="ctr"/>
        <c:lblOffset val="100"/>
        <c:noMultiLvlLbl val="0"/>
      </c:catAx>
      <c:valAx>
        <c:axId val="595434136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595436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 7 — Charts &amp; Visuals.xlsx]Pivot Table And Chart 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And Chart '!$L$35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19-4147-8263-F8D9F69BFC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19-4147-8263-F8D9F69BFC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19-4147-8263-F8D9F69BFC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19-4147-8263-F8D9F69BFC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And Chart '!$K$36:$K$40</c:f>
              <c:strCache>
                <c:ptCount val="4"/>
                <c:pt idx="0">
                  <c:v>Addis Ababa</c:v>
                </c:pt>
                <c:pt idx="1">
                  <c:v>Kampala</c:v>
                </c:pt>
                <c:pt idx="2">
                  <c:v>Mogadishu</c:v>
                </c:pt>
                <c:pt idx="3">
                  <c:v>Nairobi</c:v>
                </c:pt>
              </c:strCache>
            </c:strRef>
          </c:cat>
          <c:val>
            <c:numRef>
              <c:f>'Pivot Table And Chart '!$L$36:$L$40</c:f>
              <c:numCache>
                <c:formatCode>_-[$$-409]* #,##0.00_ ;_-[$$-409]* \-#,##0.00\ ;_-[$$-409]* "-"??_ ;_-@_ </c:formatCode>
                <c:ptCount val="4"/>
                <c:pt idx="0">
                  <c:v>33570</c:v>
                </c:pt>
                <c:pt idx="1">
                  <c:v>33000</c:v>
                </c:pt>
                <c:pt idx="2">
                  <c:v>37100</c:v>
                </c:pt>
                <c:pt idx="3">
                  <c:v>23250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9-44CB-8A0D-549F55A0B8F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3815</xdr:colOff>
      <xdr:row>1</xdr:row>
      <xdr:rowOff>174194</xdr:rowOff>
    </xdr:from>
    <xdr:to>
      <xdr:col>20</xdr:col>
      <xdr:colOff>311150</xdr:colOff>
      <xdr:row>15</xdr:row>
      <xdr:rowOff>174450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4B5A38-F38F-5BAC-DE58-14182C7EA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3175</xdr:colOff>
      <xdr:row>17</xdr:row>
      <xdr:rowOff>6350</xdr:rowOff>
    </xdr:from>
    <xdr:to>
      <xdr:col>20</xdr:col>
      <xdr:colOff>307975</xdr:colOff>
      <xdr:row>31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E112A0-BBCD-D276-2408-EC54B2DD0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3175</xdr:colOff>
      <xdr:row>34</xdr:row>
      <xdr:rowOff>6350</xdr:rowOff>
    </xdr:from>
    <xdr:to>
      <xdr:col>20</xdr:col>
      <xdr:colOff>307975</xdr:colOff>
      <xdr:row>48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CD568E-44F5-696B-3DDA-B9F8C0ADD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5A7" refreshedDate="45989.87166203704" createdVersion="8" refreshedVersion="8" minRefreshableVersion="3" recordCount="30" xr:uid="{79997C31-2344-4804-9126-B5760D2E30DF}">
  <cacheSource type="worksheet">
    <worksheetSource name="Table1"/>
  </cacheSource>
  <cacheFields count="9">
    <cacheField name="InvoiceID" numFmtId="0">
      <sharedItems/>
    </cacheField>
    <cacheField name="Date" numFmtId="0">
      <sharedItems/>
    </cacheField>
    <cacheField name="Product" numFmtId="0">
      <sharedItems count="6">
        <s v="Laptop"/>
        <s v="Headphones"/>
        <s v="Tablet"/>
        <s v="Keyboard"/>
        <s v="Monitor"/>
        <s v="Printer"/>
      </sharedItems>
    </cacheField>
    <cacheField name="UnitsSold" numFmtId="0">
      <sharedItems containsSemiMixedTypes="0" containsString="0" containsNumber="1" containsInteger="1" minValue="6" maxValue="20"/>
    </cacheField>
    <cacheField name="UnitPrice" numFmtId="0">
      <sharedItems containsSemiMixedTypes="0" containsString="0" containsNumber="1" containsInteger="1" minValue="30" maxValue="800"/>
    </cacheField>
    <cacheField name="Tatal Price" numFmtId="164">
      <sharedItems containsSemiMixedTypes="0" containsString="0" containsNumber="1" containsInteger="1" minValue="270" maxValue="15200"/>
    </cacheField>
    <cacheField name="SalesPerson" numFmtId="0">
      <sharedItems/>
    </cacheField>
    <cacheField name="City" numFmtId="0">
      <sharedItems count="4">
        <s v="Mogadishu"/>
        <s v="Addis Ababa"/>
        <s v="Nairobi"/>
        <s v="Kampala"/>
      </sharedItems>
    </cacheField>
    <cacheField name="Country" numFmtId="0">
      <sharedItems count="4">
        <s v=" Somalia"/>
        <s v=" Ethiopia"/>
        <s v=" Kenya"/>
        <s v=" Ugan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5A7" refreshedDate="45989.905611921298" createdVersion="8" refreshedVersion="8" minRefreshableVersion="3" recordCount="30" xr:uid="{32714184-2985-4457-8BBC-FD8B31149BDD}">
  <cacheSource type="worksheet">
    <worksheetSource name="Table13"/>
  </cacheSource>
  <cacheFields count="9">
    <cacheField name="InvoiceID" numFmtId="0">
      <sharedItems/>
    </cacheField>
    <cacheField name="Date" numFmtId="0">
      <sharedItems/>
    </cacheField>
    <cacheField name="Product" numFmtId="0">
      <sharedItems count="6">
        <s v="Laptop"/>
        <s v="Headphones"/>
        <s v="Tablet"/>
        <s v="Keyboard"/>
        <s v="Monitor"/>
        <s v="Printer"/>
      </sharedItems>
    </cacheField>
    <cacheField name="UnitsSold" numFmtId="0">
      <sharedItems containsSemiMixedTypes="0" containsString="0" containsNumber="1" containsInteger="1" minValue="6" maxValue="20"/>
    </cacheField>
    <cacheField name="UnitPrice" numFmtId="0">
      <sharedItems containsSemiMixedTypes="0" containsString="0" containsNumber="1" containsInteger="1" minValue="30" maxValue="800"/>
    </cacheField>
    <cacheField name="Tatal Price" numFmtId="164">
      <sharedItems containsSemiMixedTypes="0" containsString="0" containsNumber="1" containsInteger="1" minValue="270" maxValue="15200"/>
    </cacheField>
    <cacheField name="SalesPerson" numFmtId="0">
      <sharedItems count="3">
        <s v="Qamaan"/>
        <s v="Yusuf"/>
        <s v="Guled"/>
      </sharedItems>
    </cacheField>
    <cacheField name="City" numFmtId="0">
      <sharedItems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5A7" refreshedDate="45989.925688888892" createdVersion="8" refreshedVersion="8" minRefreshableVersion="3" recordCount="30" xr:uid="{A7ED6E7A-3FA2-427A-A239-68B53AB55CBE}">
  <cacheSource type="worksheet">
    <worksheetSource name="Table14"/>
  </cacheSource>
  <cacheFields count="9">
    <cacheField name="InvoiceID" numFmtId="0">
      <sharedItems/>
    </cacheField>
    <cacheField name="Date" numFmtId="0">
      <sharedItems/>
    </cacheField>
    <cacheField name="Product" numFmtId="0">
      <sharedItems count="6">
        <s v="Laptop"/>
        <s v="Headphones"/>
        <s v="Tablet"/>
        <s v="Keyboard"/>
        <s v="Monitor"/>
        <s v="Printer"/>
      </sharedItems>
    </cacheField>
    <cacheField name="UnitsSold" numFmtId="0">
      <sharedItems containsSemiMixedTypes="0" containsString="0" containsNumber="1" containsInteger="1" minValue="6" maxValue="20"/>
    </cacheField>
    <cacheField name="UnitPrice" numFmtId="0">
      <sharedItems containsSemiMixedTypes="0" containsString="0" containsNumber="1" containsInteger="1" minValue="30" maxValue="800"/>
    </cacheField>
    <cacheField name="Tatal Price" numFmtId="164">
      <sharedItems containsSemiMixedTypes="0" containsString="0" containsNumber="1" containsInteger="1" minValue="270" maxValue="15200"/>
    </cacheField>
    <cacheField name="SalesPerson" numFmtId="0">
      <sharedItems/>
    </cacheField>
    <cacheField name="City" numFmtId="0">
      <sharedItems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5A7" refreshedDate="45989.944229976849" createdVersion="8" refreshedVersion="8" minRefreshableVersion="3" recordCount="30" xr:uid="{44190DFD-2B8A-484B-9556-BA9D9CC1D0E2}">
  <cacheSource type="worksheet">
    <worksheetSource name="Table145"/>
  </cacheSource>
  <cacheFields count="9">
    <cacheField name="InvoiceID" numFmtId="0">
      <sharedItems/>
    </cacheField>
    <cacheField name="Date" numFmtId="0">
      <sharedItems/>
    </cacheField>
    <cacheField name="Product" numFmtId="0">
      <sharedItems count="6">
        <s v="Laptop"/>
        <s v="Headphones"/>
        <s v="Tablet"/>
        <s v="Keyboard"/>
        <s v="Monitor"/>
        <s v="Printer"/>
      </sharedItems>
    </cacheField>
    <cacheField name="UnitsSold" numFmtId="0">
      <sharedItems containsSemiMixedTypes="0" containsString="0" containsNumber="1" containsInteger="1" minValue="6" maxValue="20"/>
    </cacheField>
    <cacheField name="UnitPrice" numFmtId="0">
      <sharedItems containsSemiMixedTypes="0" containsString="0" containsNumber="1" containsInteger="1" minValue="30" maxValue="800"/>
    </cacheField>
    <cacheField name="Tatal Price" numFmtId="164">
      <sharedItems containsSemiMixedTypes="0" containsString="0" containsNumber="1" containsInteger="1" minValue="270" maxValue="15200"/>
    </cacheField>
    <cacheField name="SalesPerson" numFmtId="0">
      <sharedItems count="3">
        <s v="Qamaan"/>
        <s v="Yusuf"/>
        <s v="Guled"/>
      </sharedItems>
    </cacheField>
    <cacheField name="City" numFmtId="0">
      <sharedItems count="4">
        <s v="Mogadishu"/>
        <s v="Addis Ababa"/>
        <s v="Nairobi"/>
        <s v="Kampala"/>
      </sharedItems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5A7" refreshedDate="45990.606409953703" createdVersion="8" refreshedVersion="8" minRefreshableVersion="3" recordCount="30" xr:uid="{FF82F9BE-1742-4977-B53B-A5E66762591E}">
  <cacheSource type="worksheet">
    <worksheetSource name="Table1456"/>
  </cacheSource>
  <cacheFields count="9">
    <cacheField name="InvoiceID" numFmtId="0">
      <sharedItems/>
    </cacheField>
    <cacheField name="Date" numFmtId="0">
      <sharedItems/>
    </cacheField>
    <cacheField name="Product" numFmtId="0">
      <sharedItems count="6">
        <s v="Laptop"/>
        <s v="Headphones"/>
        <s v="Tablet"/>
        <s v="Keyboard"/>
        <s v="Monitor"/>
        <s v="Printer"/>
      </sharedItems>
    </cacheField>
    <cacheField name="UnitsSold" numFmtId="0">
      <sharedItems containsSemiMixedTypes="0" containsString="0" containsNumber="1" containsInteger="1" minValue="6" maxValue="20"/>
    </cacheField>
    <cacheField name="UnitPrice" numFmtId="0">
      <sharedItems containsSemiMixedTypes="0" containsString="0" containsNumber="1" containsInteger="1" minValue="30" maxValue="800"/>
    </cacheField>
    <cacheField name="Tatal Price" numFmtId="164">
      <sharedItems containsSemiMixedTypes="0" containsString="0" containsNumber="1" containsInteger="1" minValue="270" maxValue="15200"/>
    </cacheField>
    <cacheField name="SalesPerson" numFmtId="0">
      <sharedItems count="3">
        <s v="Qamaan"/>
        <s v="Yusuf"/>
        <s v="Guled"/>
      </sharedItems>
    </cacheField>
    <cacheField name="City" numFmtId="0">
      <sharedItems count="4">
        <s v="Mogadishu"/>
        <s v="Addis Ababa"/>
        <s v="Nairobi"/>
        <s v="Kampala"/>
      </sharedItems>
    </cacheField>
    <cacheField name="Country" numFmtId="0">
      <sharedItems count="4">
        <s v=" Somalia"/>
        <s v=" Ethiopia"/>
        <s v=" Kenya"/>
        <s v=" Ugan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5A7" refreshedDate="45990.617471296297" createdVersion="8" refreshedVersion="8" minRefreshableVersion="3" recordCount="30" xr:uid="{525AE353-2816-4CB3-99F1-9DFA4C9DC17F}">
  <cacheSource type="worksheet">
    <worksheetSource name="Table14567"/>
  </cacheSource>
  <cacheFields count="9">
    <cacheField name="InvoiceID" numFmtId="0">
      <sharedItems/>
    </cacheField>
    <cacheField name="Date" numFmtId="0">
      <sharedItems/>
    </cacheField>
    <cacheField name="Product" numFmtId="0">
      <sharedItems count="6">
        <s v="Laptop"/>
        <s v="Headphones"/>
        <s v="Tablet"/>
        <s v="Keyboard"/>
        <s v="Monitor"/>
        <s v="Printer"/>
      </sharedItems>
    </cacheField>
    <cacheField name="UnitsSold" numFmtId="0">
      <sharedItems containsSemiMixedTypes="0" containsString="0" containsNumber="1" containsInteger="1" minValue="6" maxValue="20"/>
    </cacheField>
    <cacheField name="UnitPrice" numFmtId="0">
      <sharedItems containsSemiMixedTypes="0" containsString="0" containsNumber="1" containsInteger="1" minValue="30" maxValue="800"/>
    </cacheField>
    <cacheField name="Tatal Price" numFmtId="164">
      <sharedItems containsSemiMixedTypes="0" containsString="0" containsNumber="1" containsInteger="1" minValue="270" maxValue="15200"/>
    </cacheField>
    <cacheField name="SalesPerson" numFmtId="0">
      <sharedItems/>
    </cacheField>
    <cacheField name="City" numFmtId="0">
      <sharedItems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INV100"/>
    <s v="2024-10-16"/>
    <x v="0"/>
    <n v="12"/>
    <n v="800"/>
    <n v="9600"/>
    <s v="Qamaan"/>
    <x v="0"/>
    <x v="0"/>
  </r>
  <r>
    <s v="INV101"/>
    <s v="2023-08-17"/>
    <x v="1"/>
    <n v="18"/>
    <n v="50"/>
    <n v="900"/>
    <s v="Yusuf"/>
    <x v="0"/>
    <x v="0"/>
  </r>
  <r>
    <s v="INV102"/>
    <s v="2023-02-02"/>
    <x v="0"/>
    <n v="12"/>
    <n v="800"/>
    <n v="9600"/>
    <s v="Guled"/>
    <x v="0"/>
    <x v="0"/>
  </r>
  <r>
    <s v="INV103"/>
    <s v="2024-06-01"/>
    <x v="2"/>
    <n v="18"/>
    <n v="300"/>
    <n v="5400"/>
    <s v="Guled"/>
    <x v="0"/>
    <x v="0"/>
  </r>
  <r>
    <s v="INV104"/>
    <s v="2023-08-14"/>
    <x v="3"/>
    <n v="10"/>
    <n v="30"/>
    <n v="300"/>
    <s v="Yusuf"/>
    <x v="1"/>
    <x v="1"/>
  </r>
  <r>
    <s v="INV105"/>
    <s v="2024-12-15"/>
    <x v="3"/>
    <n v="9"/>
    <n v="30"/>
    <n v="270"/>
    <s v="Qamaan"/>
    <x v="1"/>
    <x v="1"/>
  </r>
  <r>
    <s v="INV106"/>
    <s v="2023-08-09"/>
    <x v="4"/>
    <n v="17"/>
    <n v="150"/>
    <n v="2550"/>
    <s v="Yusuf"/>
    <x v="0"/>
    <x v="0"/>
  </r>
  <r>
    <s v="INV107"/>
    <s v="2023-04-10"/>
    <x v="4"/>
    <n v="6"/>
    <n v="150"/>
    <n v="900"/>
    <s v="Qamaan"/>
    <x v="1"/>
    <x v="1"/>
  </r>
  <r>
    <s v="INV108"/>
    <s v="2024-04-15"/>
    <x v="2"/>
    <n v="7"/>
    <n v="300"/>
    <n v="2100"/>
    <s v="Guled"/>
    <x v="0"/>
    <x v="0"/>
  </r>
  <r>
    <s v="INV109"/>
    <s v="2024-07-19"/>
    <x v="4"/>
    <n v="7"/>
    <n v="150"/>
    <n v="1050"/>
    <s v="Guled"/>
    <x v="1"/>
    <x v="1"/>
  </r>
  <r>
    <s v="INV110"/>
    <s v="2023-02-16"/>
    <x v="5"/>
    <n v="7"/>
    <n v="200"/>
    <n v="1400"/>
    <s v="Qamaan"/>
    <x v="2"/>
    <x v="2"/>
  </r>
  <r>
    <s v="INV111"/>
    <s v="2023-08-27"/>
    <x v="0"/>
    <n v="19"/>
    <n v="800"/>
    <n v="15200"/>
    <s v="Qamaan"/>
    <x v="3"/>
    <x v="3"/>
  </r>
  <r>
    <s v="INV112"/>
    <s v="2024-10-12"/>
    <x v="4"/>
    <n v="16"/>
    <n v="150"/>
    <n v="2400"/>
    <s v="Qamaan"/>
    <x v="2"/>
    <x v="2"/>
  </r>
  <r>
    <s v="INV113"/>
    <s v="2023-08-03"/>
    <x v="5"/>
    <n v="10"/>
    <n v="200"/>
    <n v="2000"/>
    <s v="Yusuf"/>
    <x v="1"/>
    <x v="1"/>
  </r>
  <r>
    <s v="INV114"/>
    <s v="2024-06-30"/>
    <x v="5"/>
    <n v="19"/>
    <n v="200"/>
    <n v="3800"/>
    <s v="Guled"/>
    <x v="2"/>
    <x v="2"/>
  </r>
  <r>
    <s v="INV115"/>
    <s v="2024-01-24"/>
    <x v="4"/>
    <n v="6"/>
    <n v="150"/>
    <n v="900"/>
    <s v="Qamaan"/>
    <x v="2"/>
    <x v="2"/>
  </r>
  <r>
    <s v="INV116"/>
    <s v="2023-08-23"/>
    <x v="0"/>
    <n v="13"/>
    <n v="800"/>
    <n v="10400"/>
    <s v="Guled"/>
    <x v="1"/>
    <x v="1"/>
  </r>
  <r>
    <s v="INV117"/>
    <s v="2023-03-09"/>
    <x v="1"/>
    <n v="20"/>
    <n v="50"/>
    <n v="1000"/>
    <s v="Yusuf"/>
    <x v="1"/>
    <x v="1"/>
  </r>
  <r>
    <s v="INV118"/>
    <s v="2024-02-10"/>
    <x v="5"/>
    <n v="13"/>
    <n v="200"/>
    <n v="2600"/>
    <s v="Yusuf"/>
    <x v="3"/>
    <x v="3"/>
  </r>
  <r>
    <s v="INV119"/>
    <s v="2023-05-23"/>
    <x v="1"/>
    <n v="17"/>
    <n v="50"/>
    <n v="850"/>
    <s v="Guled"/>
    <x v="1"/>
    <x v="1"/>
  </r>
  <r>
    <s v="INV120"/>
    <s v="2024-01-06"/>
    <x v="1"/>
    <n v="7"/>
    <n v="50"/>
    <n v="350"/>
    <s v="Guled"/>
    <x v="2"/>
    <x v="2"/>
  </r>
  <r>
    <s v="INV121"/>
    <s v="2023-02-18"/>
    <x v="0"/>
    <n v="18"/>
    <n v="800"/>
    <n v="14400"/>
    <s v="Yusuf"/>
    <x v="2"/>
    <x v="2"/>
  </r>
  <r>
    <s v="INV122"/>
    <s v="2024-09-02"/>
    <x v="0"/>
    <n v="19"/>
    <n v="800"/>
    <n v="15200"/>
    <s v="Guled"/>
    <x v="3"/>
    <x v="3"/>
  </r>
  <r>
    <s v="INV123"/>
    <s v="2024-06-25"/>
    <x v="4"/>
    <n v="13"/>
    <n v="150"/>
    <n v="1950"/>
    <s v="Yusuf"/>
    <x v="0"/>
    <x v="0"/>
  </r>
  <r>
    <s v="INV124"/>
    <s v="2024-10-18"/>
    <x v="4"/>
    <n v="18"/>
    <n v="150"/>
    <n v="2700"/>
    <s v="Qamaan"/>
    <x v="0"/>
    <x v="0"/>
  </r>
  <r>
    <s v="INV125"/>
    <s v="2023-06-11"/>
    <x v="3"/>
    <n v="10"/>
    <n v="30"/>
    <n v="300"/>
    <s v="Qamaan"/>
    <x v="0"/>
    <x v="0"/>
  </r>
  <r>
    <s v="INV126"/>
    <s v="2024-06-03"/>
    <x v="0"/>
    <n v="9"/>
    <n v="800"/>
    <n v="7200"/>
    <s v="Yusuf"/>
    <x v="1"/>
    <x v="1"/>
  </r>
  <r>
    <s v="INV127"/>
    <s v="2024-01-18"/>
    <x v="1"/>
    <n v="20"/>
    <n v="50"/>
    <n v="1000"/>
    <s v="Qamaan"/>
    <x v="0"/>
    <x v="0"/>
  </r>
  <r>
    <s v="INV128"/>
    <s v="2023-01-20"/>
    <x v="0"/>
    <n v="12"/>
    <n v="800"/>
    <n v="9600"/>
    <s v="Qamaan"/>
    <x v="1"/>
    <x v="1"/>
  </r>
  <r>
    <s v="INV129"/>
    <s v="2023-03-01"/>
    <x v="1"/>
    <n v="20"/>
    <n v="50"/>
    <n v="1000"/>
    <s v="Guled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INV100"/>
    <s v="2024-10-16"/>
    <x v="0"/>
    <n v="12"/>
    <n v="800"/>
    <n v="9600"/>
    <x v="0"/>
    <s v="Mogadishu"/>
    <s v=" Somalia"/>
  </r>
  <r>
    <s v="INV101"/>
    <s v="2023-08-17"/>
    <x v="1"/>
    <n v="18"/>
    <n v="50"/>
    <n v="900"/>
    <x v="1"/>
    <s v="Mogadishu"/>
    <s v=" Somalia"/>
  </r>
  <r>
    <s v="INV102"/>
    <s v="2023-02-02"/>
    <x v="0"/>
    <n v="12"/>
    <n v="800"/>
    <n v="9600"/>
    <x v="2"/>
    <s v="Mogadishu"/>
    <s v=" Somalia"/>
  </r>
  <r>
    <s v="INV103"/>
    <s v="2024-06-01"/>
    <x v="2"/>
    <n v="18"/>
    <n v="300"/>
    <n v="5400"/>
    <x v="2"/>
    <s v="Mogadishu"/>
    <s v=" Somalia"/>
  </r>
  <r>
    <s v="INV104"/>
    <s v="2023-08-14"/>
    <x v="3"/>
    <n v="10"/>
    <n v="30"/>
    <n v="300"/>
    <x v="1"/>
    <s v="Addis Ababa"/>
    <s v=" Ethiopia"/>
  </r>
  <r>
    <s v="INV105"/>
    <s v="2024-12-15"/>
    <x v="3"/>
    <n v="9"/>
    <n v="30"/>
    <n v="270"/>
    <x v="0"/>
    <s v="Addis Ababa"/>
    <s v=" Ethiopia"/>
  </r>
  <r>
    <s v="INV106"/>
    <s v="2023-08-09"/>
    <x v="4"/>
    <n v="17"/>
    <n v="150"/>
    <n v="2550"/>
    <x v="1"/>
    <s v="Mogadishu"/>
    <s v=" Somalia"/>
  </r>
  <r>
    <s v="INV107"/>
    <s v="2023-04-10"/>
    <x v="4"/>
    <n v="6"/>
    <n v="150"/>
    <n v="900"/>
    <x v="0"/>
    <s v="Addis Ababa"/>
    <s v=" Ethiopia"/>
  </r>
  <r>
    <s v="INV108"/>
    <s v="2024-04-15"/>
    <x v="2"/>
    <n v="7"/>
    <n v="300"/>
    <n v="2100"/>
    <x v="2"/>
    <s v="Mogadishu"/>
    <s v=" Somalia"/>
  </r>
  <r>
    <s v="INV109"/>
    <s v="2024-07-19"/>
    <x v="4"/>
    <n v="7"/>
    <n v="150"/>
    <n v="1050"/>
    <x v="2"/>
    <s v="Addis Ababa"/>
    <s v=" Ethiopia"/>
  </r>
  <r>
    <s v="INV110"/>
    <s v="2023-02-16"/>
    <x v="5"/>
    <n v="7"/>
    <n v="200"/>
    <n v="1400"/>
    <x v="0"/>
    <s v="Nairobi"/>
    <s v=" Kenya"/>
  </r>
  <r>
    <s v="INV111"/>
    <s v="2023-08-27"/>
    <x v="0"/>
    <n v="19"/>
    <n v="800"/>
    <n v="15200"/>
    <x v="0"/>
    <s v="Kampala"/>
    <s v=" Uganda"/>
  </r>
  <r>
    <s v="INV112"/>
    <s v="2024-10-12"/>
    <x v="4"/>
    <n v="16"/>
    <n v="150"/>
    <n v="2400"/>
    <x v="0"/>
    <s v="Nairobi"/>
    <s v=" Kenya"/>
  </r>
  <r>
    <s v="INV113"/>
    <s v="2023-08-03"/>
    <x v="5"/>
    <n v="10"/>
    <n v="200"/>
    <n v="2000"/>
    <x v="1"/>
    <s v="Addis Ababa"/>
    <s v=" Ethiopia"/>
  </r>
  <r>
    <s v="INV114"/>
    <s v="2024-06-30"/>
    <x v="5"/>
    <n v="19"/>
    <n v="200"/>
    <n v="3800"/>
    <x v="2"/>
    <s v="Nairobi"/>
    <s v=" Kenya"/>
  </r>
  <r>
    <s v="INV115"/>
    <s v="2024-01-24"/>
    <x v="4"/>
    <n v="6"/>
    <n v="150"/>
    <n v="900"/>
    <x v="0"/>
    <s v="Nairobi"/>
    <s v=" Kenya"/>
  </r>
  <r>
    <s v="INV116"/>
    <s v="2023-08-23"/>
    <x v="0"/>
    <n v="13"/>
    <n v="800"/>
    <n v="10400"/>
    <x v="2"/>
    <s v="Addis Ababa"/>
    <s v=" Ethiopia"/>
  </r>
  <r>
    <s v="INV117"/>
    <s v="2023-03-09"/>
    <x v="1"/>
    <n v="20"/>
    <n v="50"/>
    <n v="1000"/>
    <x v="1"/>
    <s v="Addis Ababa"/>
    <s v=" Ethiopia"/>
  </r>
  <r>
    <s v="INV118"/>
    <s v="2024-02-10"/>
    <x v="5"/>
    <n v="13"/>
    <n v="200"/>
    <n v="2600"/>
    <x v="1"/>
    <s v="Kampala"/>
    <s v=" Uganda"/>
  </r>
  <r>
    <s v="INV119"/>
    <s v="2023-05-23"/>
    <x v="1"/>
    <n v="17"/>
    <n v="50"/>
    <n v="850"/>
    <x v="2"/>
    <s v="Addis Ababa"/>
    <s v=" Ethiopia"/>
  </r>
  <r>
    <s v="INV120"/>
    <s v="2024-01-06"/>
    <x v="1"/>
    <n v="7"/>
    <n v="50"/>
    <n v="350"/>
    <x v="2"/>
    <s v="Nairobi"/>
    <s v=" Kenya"/>
  </r>
  <r>
    <s v="INV121"/>
    <s v="2023-02-18"/>
    <x v="0"/>
    <n v="18"/>
    <n v="800"/>
    <n v="14400"/>
    <x v="1"/>
    <s v="Nairobi"/>
    <s v=" Kenya"/>
  </r>
  <r>
    <s v="INV122"/>
    <s v="2024-09-02"/>
    <x v="0"/>
    <n v="19"/>
    <n v="800"/>
    <n v="15200"/>
    <x v="2"/>
    <s v="Kampala"/>
    <s v=" Uganda"/>
  </r>
  <r>
    <s v="INV123"/>
    <s v="2024-06-25"/>
    <x v="4"/>
    <n v="13"/>
    <n v="150"/>
    <n v="1950"/>
    <x v="1"/>
    <s v="Mogadishu"/>
    <s v=" Somalia"/>
  </r>
  <r>
    <s v="INV124"/>
    <s v="2024-10-18"/>
    <x v="4"/>
    <n v="18"/>
    <n v="150"/>
    <n v="2700"/>
    <x v="0"/>
    <s v="Mogadishu"/>
    <s v=" Somalia"/>
  </r>
  <r>
    <s v="INV125"/>
    <s v="2023-06-11"/>
    <x v="3"/>
    <n v="10"/>
    <n v="30"/>
    <n v="300"/>
    <x v="0"/>
    <s v="Mogadishu"/>
    <s v=" Somalia"/>
  </r>
  <r>
    <s v="INV126"/>
    <s v="2024-06-03"/>
    <x v="0"/>
    <n v="9"/>
    <n v="800"/>
    <n v="7200"/>
    <x v="1"/>
    <s v="Addis Ababa"/>
    <s v=" Ethiopia"/>
  </r>
  <r>
    <s v="INV127"/>
    <s v="2024-01-18"/>
    <x v="1"/>
    <n v="20"/>
    <n v="50"/>
    <n v="1000"/>
    <x v="0"/>
    <s v="Mogadishu"/>
    <s v=" Somalia"/>
  </r>
  <r>
    <s v="INV128"/>
    <s v="2023-01-20"/>
    <x v="0"/>
    <n v="12"/>
    <n v="800"/>
    <n v="9600"/>
    <x v="0"/>
    <s v="Addis Ababa"/>
    <s v=" Ethiopia"/>
  </r>
  <r>
    <s v="INV129"/>
    <s v="2023-03-01"/>
    <x v="1"/>
    <n v="20"/>
    <n v="50"/>
    <n v="1000"/>
    <x v="2"/>
    <s v="Mogadishu"/>
    <s v=" Somali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INV100"/>
    <s v="2024-10-16"/>
    <x v="0"/>
    <n v="12"/>
    <n v="800"/>
    <n v="9600"/>
    <s v="Qamaan"/>
    <s v="Mogadishu"/>
    <s v=" Somalia"/>
  </r>
  <r>
    <s v="INV101"/>
    <s v="2023-08-17"/>
    <x v="1"/>
    <n v="18"/>
    <n v="50"/>
    <n v="900"/>
    <s v="Yusuf"/>
    <s v="Mogadishu"/>
    <s v=" Somalia"/>
  </r>
  <r>
    <s v="INV102"/>
    <s v="2023-02-02"/>
    <x v="0"/>
    <n v="12"/>
    <n v="800"/>
    <n v="9600"/>
    <s v="Guled"/>
    <s v="Mogadishu"/>
    <s v=" Somalia"/>
  </r>
  <r>
    <s v="INV103"/>
    <s v="2024-06-01"/>
    <x v="2"/>
    <n v="18"/>
    <n v="300"/>
    <n v="5400"/>
    <s v="Guled"/>
    <s v="Mogadishu"/>
    <s v=" Somalia"/>
  </r>
  <r>
    <s v="INV104"/>
    <s v="2023-08-14"/>
    <x v="3"/>
    <n v="10"/>
    <n v="30"/>
    <n v="300"/>
    <s v="Yusuf"/>
    <s v="Addis Ababa"/>
    <s v=" Ethiopia"/>
  </r>
  <r>
    <s v="INV105"/>
    <s v="2024-12-15"/>
    <x v="3"/>
    <n v="9"/>
    <n v="30"/>
    <n v="270"/>
    <s v="Qamaan"/>
    <s v="Addis Ababa"/>
    <s v=" Ethiopia"/>
  </r>
  <r>
    <s v="INV106"/>
    <s v="2023-08-09"/>
    <x v="4"/>
    <n v="17"/>
    <n v="150"/>
    <n v="2550"/>
    <s v="Yusuf"/>
    <s v="Mogadishu"/>
    <s v=" Somalia"/>
  </r>
  <r>
    <s v="INV107"/>
    <s v="2023-04-10"/>
    <x v="4"/>
    <n v="6"/>
    <n v="150"/>
    <n v="900"/>
    <s v="Qamaan"/>
    <s v="Addis Ababa"/>
    <s v=" Ethiopia"/>
  </r>
  <r>
    <s v="INV108"/>
    <s v="2024-04-15"/>
    <x v="2"/>
    <n v="7"/>
    <n v="300"/>
    <n v="2100"/>
    <s v="Guled"/>
    <s v="Mogadishu"/>
    <s v=" Somalia"/>
  </r>
  <r>
    <s v="INV109"/>
    <s v="2024-07-19"/>
    <x v="4"/>
    <n v="7"/>
    <n v="150"/>
    <n v="1050"/>
    <s v="Guled"/>
    <s v="Addis Ababa"/>
    <s v=" Ethiopia"/>
  </r>
  <r>
    <s v="INV110"/>
    <s v="2023-02-16"/>
    <x v="5"/>
    <n v="7"/>
    <n v="200"/>
    <n v="1400"/>
    <s v="Qamaan"/>
    <s v="Nairobi"/>
    <s v=" Kenya"/>
  </r>
  <r>
    <s v="INV111"/>
    <s v="2023-08-27"/>
    <x v="0"/>
    <n v="19"/>
    <n v="800"/>
    <n v="15200"/>
    <s v="Qamaan"/>
    <s v="Kampala"/>
    <s v=" Uganda"/>
  </r>
  <r>
    <s v="INV112"/>
    <s v="2024-10-12"/>
    <x v="4"/>
    <n v="16"/>
    <n v="150"/>
    <n v="2400"/>
    <s v="Qamaan"/>
    <s v="Nairobi"/>
    <s v=" Kenya"/>
  </r>
  <r>
    <s v="INV113"/>
    <s v="2023-08-03"/>
    <x v="5"/>
    <n v="10"/>
    <n v="200"/>
    <n v="2000"/>
    <s v="Yusuf"/>
    <s v="Addis Ababa"/>
    <s v=" Ethiopia"/>
  </r>
  <r>
    <s v="INV114"/>
    <s v="2024-06-30"/>
    <x v="5"/>
    <n v="19"/>
    <n v="200"/>
    <n v="3800"/>
    <s v="Guled"/>
    <s v="Nairobi"/>
    <s v=" Kenya"/>
  </r>
  <r>
    <s v="INV115"/>
    <s v="2024-01-24"/>
    <x v="4"/>
    <n v="6"/>
    <n v="150"/>
    <n v="900"/>
    <s v="Qamaan"/>
    <s v="Nairobi"/>
    <s v=" Kenya"/>
  </r>
  <r>
    <s v="INV116"/>
    <s v="2023-08-23"/>
    <x v="0"/>
    <n v="13"/>
    <n v="800"/>
    <n v="10400"/>
    <s v="Guled"/>
    <s v="Addis Ababa"/>
    <s v=" Ethiopia"/>
  </r>
  <r>
    <s v="INV117"/>
    <s v="2023-03-09"/>
    <x v="1"/>
    <n v="20"/>
    <n v="50"/>
    <n v="1000"/>
    <s v="Yusuf"/>
    <s v="Addis Ababa"/>
    <s v=" Ethiopia"/>
  </r>
  <r>
    <s v="INV118"/>
    <s v="2024-02-10"/>
    <x v="5"/>
    <n v="13"/>
    <n v="200"/>
    <n v="2600"/>
    <s v="Yusuf"/>
    <s v="Kampala"/>
    <s v=" Uganda"/>
  </r>
  <r>
    <s v="INV119"/>
    <s v="2023-05-23"/>
    <x v="1"/>
    <n v="17"/>
    <n v="50"/>
    <n v="850"/>
    <s v="Guled"/>
    <s v="Addis Ababa"/>
    <s v=" Ethiopia"/>
  </r>
  <r>
    <s v="INV120"/>
    <s v="2024-01-06"/>
    <x v="1"/>
    <n v="7"/>
    <n v="50"/>
    <n v="350"/>
    <s v="Guled"/>
    <s v="Nairobi"/>
    <s v=" Kenya"/>
  </r>
  <r>
    <s v="INV121"/>
    <s v="2023-02-18"/>
    <x v="0"/>
    <n v="18"/>
    <n v="800"/>
    <n v="14400"/>
    <s v="Yusuf"/>
    <s v="Nairobi"/>
    <s v=" Kenya"/>
  </r>
  <r>
    <s v="INV122"/>
    <s v="2024-09-02"/>
    <x v="0"/>
    <n v="19"/>
    <n v="800"/>
    <n v="15200"/>
    <s v="Guled"/>
    <s v="Kampala"/>
    <s v=" Uganda"/>
  </r>
  <r>
    <s v="INV123"/>
    <s v="2024-06-25"/>
    <x v="4"/>
    <n v="13"/>
    <n v="150"/>
    <n v="1950"/>
    <s v="Yusuf"/>
    <s v="Mogadishu"/>
    <s v=" Somalia"/>
  </r>
  <r>
    <s v="INV124"/>
    <s v="2024-10-18"/>
    <x v="4"/>
    <n v="18"/>
    <n v="150"/>
    <n v="2700"/>
    <s v="Qamaan"/>
    <s v="Mogadishu"/>
    <s v=" Somalia"/>
  </r>
  <r>
    <s v="INV125"/>
    <s v="2023-06-11"/>
    <x v="3"/>
    <n v="10"/>
    <n v="30"/>
    <n v="300"/>
    <s v="Qamaan"/>
    <s v="Mogadishu"/>
    <s v=" Somalia"/>
  </r>
  <r>
    <s v="INV126"/>
    <s v="2024-06-03"/>
    <x v="0"/>
    <n v="9"/>
    <n v="800"/>
    <n v="7200"/>
    <s v="Yusuf"/>
    <s v="Addis Ababa"/>
    <s v=" Ethiopia"/>
  </r>
  <r>
    <s v="INV127"/>
    <s v="2024-01-18"/>
    <x v="1"/>
    <n v="20"/>
    <n v="50"/>
    <n v="1000"/>
    <s v="Qamaan"/>
    <s v="Mogadishu"/>
    <s v=" Somalia"/>
  </r>
  <r>
    <s v="INV128"/>
    <s v="2023-01-20"/>
    <x v="0"/>
    <n v="12"/>
    <n v="800"/>
    <n v="9600"/>
    <s v="Qamaan"/>
    <s v="Addis Ababa"/>
    <s v=" Ethiopia"/>
  </r>
  <r>
    <s v="INV129"/>
    <s v="2023-03-01"/>
    <x v="1"/>
    <n v="20"/>
    <n v="50"/>
    <n v="1000"/>
    <s v="Guled"/>
    <s v="Mogadishu"/>
    <s v=" Somali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INV100"/>
    <s v="2024-10-16"/>
    <x v="0"/>
    <n v="12"/>
    <n v="800"/>
    <n v="9600"/>
    <x v="0"/>
    <x v="0"/>
    <s v=" Somalia"/>
  </r>
  <r>
    <s v="INV101"/>
    <s v="2023-08-17"/>
    <x v="1"/>
    <n v="18"/>
    <n v="50"/>
    <n v="900"/>
    <x v="1"/>
    <x v="0"/>
    <s v=" Somalia"/>
  </r>
  <r>
    <s v="INV102"/>
    <s v="2023-02-02"/>
    <x v="0"/>
    <n v="12"/>
    <n v="800"/>
    <n v="9600"/>
    <x v="2"/>
    <x v="0"/>
    <s v=" Somalia"/>
  </r>
  <r>
    <s v="INV103"/>
    <s v="2024-06-01"/>
    <x v="2"/>
    <n v="18"/>
    <n v="300"/>
    <n v="5400"/>
    <x v="2"/>
    <x v="0"/>
    <s v=" Somalia"/>
  </r>
  <r>
    <s v="INV104"/>
    <s v="2023-08-14"/>
    <x v="3"/>
    <n v="10"/>
    <n v="30"/>
    <n v="300"/>
    <x v="1"/>
    <x v="1"/>
    <s v=" Ethiopia"/>
  </r>
  <r>
    <s v="INV105"/>
    <s v="2024-12-15"/>
    <x v="3"/>
    <n v="9"/>
    <n v="30"/>
    <n v="270"/>
    <x v="0"/>
    <x v="1"/>
    <s v=" Ethiopia"/>
  </r>
  <r>
    <s v="INV106"/>
    <s v="2023-08-09"/>
    <x v="4"/>
    <n v="17"/>
    <n v="150"/>
    <n v="2550"/>
    <x v="1"/>
    <x v="0"/>
    <s v=" Somalia"/>
  </r>
  <r>
    <s v="INV107"/>
    <s v="2023-04-10"/>
    <x v="4"/>
    <n v="6"/>
    <n v="150"/>
    <n v="900"/>
    <x v="0"/>
    <x v="1"/>
    <s v=" Ethiopia"/>
  </r>
  <r>
    <s v="INV108"/>
    <s v="2024-04-15"/>
    <x v="2"/>
    <n v="7"/>
    <n v="300"/>
    <n v="2100"/>
    <x v="2"/>
    <x v="0"/>
    <s v=" Somalia"/>
  </r>
  <r>
    <s v="INV109"/>
    <s v="2024-07-19"/>
    <x v="4"/>
    <n v="7"/>
    <n v="150"/>
    <n v="1050"/>
    <x v="2"/>
    <x v="1"/>
    <s v=" Ethiopia"/>
  </r>
  <r>
    <s v="INV110"/>
    <s v="2023-02-16"/>
    <x v="5"/>
    <n v="7"/>
    <n v="200"/>
    <n v="1400"/>
    <x v="0"/>
    <x v="2"/>
    <s v=" Kenya"/>
  </r>
  <r>
    <s v="INV111"/>
    <s v="2023-08-27"/>
    <x v="0"/>
    <n v="19"/>
    <n v="800"/>
    <n v="15200"/>
    <x v="0"/>
    <x v="3"/>
    <s v=" Uganda"/>
  </r>
  <r>
    <s v="INV112"/>
    <s v="2024-10-12"/>
    <x v="4"/>
    <n v="16"/>
    <n v="150"/>
    <n v="2400"/>
    <x v="0"/>
    <x v="2"/>
    <s v=" Kenya"/>
  </r>
  <r>
    <s v="INV113"/>
    <s v="2023-08-03"/>
    <x v="5"/>
    <n v="10"/>
    <n v="200"/>
    <n v="2000"/>
    <x v="1"/>
    <x v="1"/>
    <s v=" Ethiopia"/>
  </r>
  <r>
    <s v="INV114"/>
    <s v="2024-06-30"/>
    <x v="5"/>
    <n v="19"/>
    <n v="200"/>
    <n v="3800"/>
    <x v="2"/>
    <x v="2"/>
    <s v=" Kenya"/>
  </r>
  <r>
    <s v="INV115"/>
    <s v="2024-01-24"/>
    <x v="4"/>
    <n v="6"/>
    <n v="150"/>
    <n v="900"/>
    <x v="0"/>
    <x v="2"/>
    <s v=" Kenya"/>
  </r>
  <r>
    <s v="INV116"/>
    <s v="2023-08-23"/>
    <x v="0"/>
    <n v="13"/>
    <n v="800"/>
    <n v="10400"/>
    <x v="2"/>
    <x v="1"/>
    <s v=" Ethiopia"/>
  </r>
  <r>
    <s v="INV117"/>
    <s v="2023-03-09"/>
    <x v="1"/>
    <n v="20"/>
    <n v="50"/>
    <n v="1000"/>
    <x v="1"/>
    <x v="1"/>
    <s v=" Ethiopia"/>
  </r>
  <r>
    <s v="INV118"/>
    <s v="2024-02-10"/>
    <x v="5"/>
    <n v="13"/>
    <n v="200"/>
    <n v="2600"/>
    <x v="1"/>
    <x v="3"/>
    <s v=" Uganda"/>
  </r>
  <r>
    <s v="INV119"/>
    <s v="2023-05-23"/>
    <x v="1"/>
    <n v="17"/>
    <n v="50"/>
    <n v="850"/>
    <x v="2"/>
    <x v="1"/>
    <s v=" Ethiopia"/>
  </r>
  <r>
    <s v="INV120"/>
    <s v="2024-01-06"/>
    <x v="1"/>
    <n v="7"/>
    <n v="50"/>
    <n v="350"/>
    <x v="2"/>
    <x v="2"/>
    <s v=" Kenya"/>
  </r>
  <r>
    <s v="INV121"/>
    <s v="2023-02-18"/>
    <x v="0"/>
    <n v="18"/>
    <n v="800"/>
    <n v="14400"/>
    <x v="1"/>
    <x v="2"/>
    <s v=" Kenya"/>
  </r>
  <r>
    <s v="INV122"/>
    <s v="2024-09-02"/>
    <x v="0"/>
    <n v="19"/>
    <n v="800"/>
    <n v="15200"/>
    <x v="2"/>
    <x v="3"/>
    <s v=" Uganda"/>
  </r>
  <r>
    <s v="INV123"/>
    <s v="2024-06-25"/>
    <x v="4"/>
    <n v="13"/>
    <n v="150"/>
    <n v="1950"/>
    <x v="1"/>
    <x v="0"/>
    <s v=" Somalia"/>
  </r>
  <r>
    <s v="INV124"/>
    <s v="2024-10-18"/>
    <x v="4"/>
    <n v="18"/>
    <n v="150"/>
    <n v="2700"/>
    <x v="0"/>
    <x v="0"/>
    <s v=" Somalia"/>
  </r>
  <r>
    <s v="INV125"/>
    <s v="2023-06-11"/>
    <x v="3"/>
    <n v="10"/>
    <n v="30"/>
    <n v="300"/>
    <x v="0"/>
    <x v="0"/>
    <s v=" Somalia"/>
  </r>
  <r>
    <s v="INV126"/>
    <s v="2024-06-03"/>
    <x v="0"/>
    <n v="9"/>
    <n v="800"/>
    <n v="7200"/>
    <x v="1"/>
    <x v="1"/>
    <s v=" Ethiopia"/>
  </r>
  <r>
    <s v="INV127"/>
    <s v="2024-01-18"/>
    <x v="1"/>
    <n v="20"/>
    <n v="50"/>
    <n v="1000"/>
    <x v="0"/>
    <x v="0"/>
    <s v=" Somalia"/>
  </r>
  <r>
    <s v="INV128"/>
    <s v="2023-01-20"/>
    <x v="0"/>
    <n v="12"/>
    <n v="800"/>
    <n v="9600"/>
    <x v="0"/>
    <x v="1"/>
    <s v=" Ethiopia"/>
  </r>
  <r>
    <s v="INV129"/>
    <s v="2023-03-01"/>
    <x v="1"/>
    <n v="20"/>
    <n v="50"/>
    <n v="1000"/>
    <x v="2"/>
    <x v="0"/>
    <s v=" Somali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INV100"/>
    <s v="2024-10-16"/>
    <x v="0"/>
    <n v="12"/>
    <n v="800"/>
    <n v="9600"/>
    <x v="0"/>
    <x v="0"/>
    <x v="0"/>
  </r>
  <r>
    <s v="INV101"/>
    <s v="2023-08-17"/>
    <x v="1"/>
    <n v="18"/>
    <n v="50"/>
    <n v="900"/>
    <x v="1"/>
    <x v="0"/>
    <x v="0"/>
  </r>
  <r>
    <s v="INV102"/>
    <s v="2023-02-02"/>
    <x v="0"/>
    <n v="12"/>
    <n v="800"/>
    <n v="9600"/>
    <x v="2"/>
    <x v="0"/>
    <x v="0"/>
  </r>
  <r>
    <s v="INV103"/>
    <s v="2024-06-01"/>
    <x v="2"/>
    <n v="18"/>
    <n v="300"/>
    <n v="5400"/>
    <x v="2"/>
    <x v="0"/>
    <x v="0"/>
  </r>
  <r>
    <s v="INV104"/>
    <s v="2023-08-14"/>
    <x v="3"/>
    <n v="10"/>
    <n v="30"/>
    <n v="300"/>
    <x v="1"/>
    <x v="1"/>
    <x v="1"/>
  </r>
  <r>
    <s v="INV105"/>
    <s v="2024-12-15"/>
    <x v="3"/>
    <n v="9"/>
    <n v="30"/>
    <n v="270"/>
    <x v="0"/>
    <x v="1"/>
    <x v="1"/>
  </r>
  <r>
    <s v="INV106"/>
    <s v="2023-08-09"/>
    <x v="4"/>
    <n v="17"/>
    <n v="150"/>
    <n v="2550"/>
    <x v="1"/>
    <x v="0"/>
    <x v="0"/>
  </r>
  <r>
    <s v="INV107"/>
    <s v="2023-04-10"/>
    <x v="4"/>
    <n v="6"/>
    <n v="150"/>
    <n v="900"/>
    <x v="0"/>
    <x v="1"/>
    <x v="1"/>
  </r>
  <r>
    <s v="INV108"/>
    <s v="2024-04-15"/>
    <x v="2"/>
    <n v="7"/>
    <n v="300"/>
    <n v="2100"/>
    <x v="2"/>
    <x v="0"/>
    <x v="0"/>
  </r>
  <r>
    <s v="INV109"/>
    <s v="2024-07-19"/>
    <x v="4"/>
    <n v="7"/>
    <n v="150"/>
    <n v="1050"/>
    <x v="2"/>
    <x v="1"/>
    <x v="1"/>
  </r>
  <r>
    <s v="INV110"/>
    <s v="2023-02-16"/>
    <x v="5"/>
    <n v="7"/>
    <n v="200"/>
    <n v="1400"/>
    <x v="0"/>
    <x v="2"/>
    <x v="2"/>
  </r>
  <r>
    <s v="INV111"/>
    <s v="2023-08-27"/>
    <x v="0"/>
    <n v="19"/>
    <n v="800"/>
    <n v="15200"/>
    <x v="0"/>
    <x v="3"/>
    <x v="3"/>
  </r>
  <r>
    <s v="INV112"/>
    <s v="2024-10-12"/>
    <x v="4"/>
    <n v="16"/>
    <n v="150"/>
    <n v="2400"/>
    <x v="0"/>
    <x v="2"/>
    <x v="2"/>
  </r>
  <r>
    <s v="INV113"/>
    <s v="2023-08-03"/>
    <x v="5"/>
    <n v="10"/>
    <n v="200"/>
    <n v="2000"/>
    <x v="1"/>
    <x v="1"/>
    <x v="1"/>
  </r>
  <r>
    <s v="INV114"/>
    <s v="2024-06-30"/>
    <x v="5"/>
    <n v="19"/>
    <n v="200"/>
    <n v="3800"/>
    <x v="2"/>
    <x v="2"/>
    <x v="2"/>
  </r>
  <r>
    <s v="INV115"/>
    <s v="2024-01-24"/>
    <x v="4"/>
    <n v="6"/>
    <n v="150"/>
    <n v="900"/>
    <x v="0"/>
    <x v="2"/>
    <x v="2"/>
  </r>
  <r>
    <s v="INV116"/>
    <s v="2023-08-23"/>
    <x v="0"/>
    <n v="13"/>
    <n v="800"/>
    <n v="10400"/>
    <x v="2"/>
    <x v="1"/>
    <x v="1"/>
  </r>
  <r>
    <s v="INV117"/>
    <s v="2023-03-09"/>
    <x v="1"/>
    <n v="20"/>
    <n v="50"/>
    <n v="1000"/>
    <x v="1"/>
    <x v="1"/>
    <x v="1"/>
  </r>
  <r>
    <s v="INV118"/>
    <s v="2024-02-10"/>
    <x v="5"/>
    <n v="13"/>
    <n v="200"/>
    <n v="2600"/>
    <x v="1"/>
    <x v="3"/>
    <x v="3"/>
  </r>
  <r>
    <s v="INV119"/>
    <s v="2023-05-23"/>
    <x v="1"/>
    <n v="17"/>
    <n v="50"/>
    <n v="850"/>
    <x v="2"/>
    <x v="1"/>
    <x v="1"/>
  </r>
  <r>
    <s v="INV120"/>
    <s v="2024-01-06"/>
    <x v="1"/>
    <n v="7"/>
    <n v="50"/>
    <n v="350"/>
    <x v="2"/>
    <x v="2"/>
    <x v="2"/>
  </r>
  <r>
    <s v="INV121"/>
    <s v="2023-02-18"/>
    <x v="0"/>
    <n v="18"/>
    <n v="800"/>
    <n v="14400"/>
    <x v="1"/>
    <x v="2"/>
    <x v="2"/>
  </r>
  <r>
    <s v="INV122"/>
    <s v="2024-09-02"/>
    <x v="0"/>
    <n v="19"/>
    <n v="800"/>
    <n v="15200"/>
    <x v="2"/>
    <x v="3"/>
    <x v="3"/>
  </r>
  <r>
    <s v="INV123"/>
    <s v="2024-06-25"/>
    <x v="4"/>
    <n v="13"/>
    <n v="150"/>
    <n v="1950"/>
    <x v="1"/>
    <x v="0"/>
    <x v="0"/>
  </r>
  <r>
    <s v="INV124"/>
    <s v="2024-10-18"/>
    <x v="4"/>
    <n v="18"/>
    <n v="150"/>
    <n v="2700"/>
    <x v="0"/>
    <x v="0"/>
    <x v="0"/>
  </r>
  <r>
    <s v="INV125"/>
    <s v="2023-06-11"/>
    <x v="3"/>
    <n v="10"/>
    <n v="30"/>
    <n v="300"/>
    <x v="0"/>
    <x v="0"/>
    <x v="0"/>
  </r>
  <r>
    <s v="INV126"/>
    <s v="2024-06-03"/>
    <x v="0"/>
    <n v="9"/>
    <n v="800"/>
    <n v="7200"/>
    <x v="1"/>
    <x v="1"/>
    <x v="1"/>
  </r>
  <r>
    <s v="INV127"/>
    <s v="2024-01-18"/>
    <x v="1"/>
    <n v="20"/>
    <n v="50"/>
    <n v="1000"/>
    <x v="0"/>
    <x v="0"/>
    <x v="0"/>
  </r>
  <r>
    <s v="INV128"/>
    <s v="2023-01-20"/>
    <x v="0"/>
    <n v="12"/>
    <n v="800"/>
    <n v="9600"/>
    <x v="0"/>
    <x v="1"/>
    <x v="1"/>
  </r>
  <r>
    <s v="INV129"/>
    <s v="2023-03-01"/>
    <x v="1"/>
    <n v="20"/>
    <n v="50"/>
    <n v="1000"/>
    <x v="2"/>
    <x v="0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INV100"/>
    <s v="2024-10-16"/>
    <x v="0"/>
    <n v="12"/>
    <n v="800"/>
    <n v="9600"/>
    <s v="Qamaan"/>
    <s v="Mogadishu"/>
    <s v=" Somalia"/>
  </r>
  <r>
    <s v="INV101"/>
    <s v="2023-08-17"/>
    <x v="1"/>
    <n v="18"/>
    <n v="50"/>
    <n v="900"/>
    <s v="Yusuf"/>
    <s v="Mogadishu"/>
    <s v=" Somalia"/>
  </r>
  <r>
    <s v="INV102"/>
    <s v="2023-02-02"/>
    <x v="0"/>
    <n v="12"/>
    <n v="800"/>
    <n v="9600"/>
    <s v="Guled"/>
    <s v="Mogadishu"/>
    <s v=" Somalia"/>
  </r>
  <r>
    <s v="INV103"/>
    <s v="2024-06-01"/>
    <x v="2"/>
    <n v="18"/>
    <n v="300"/>
    <n v="5400"/>
    <s v="Guled"/>
    <s v="Mogadishu"/>
    <s v=" Somalia"/>
  </r>
  <r>
    <s v="INV104"/>
    <s v="2023-08-14"/>
    <x v="3"/>
    <n v="10"/>
    <n v="30"/>
    <n v="300"/>
    <s v="Yusuf"/>
    <s v="Addis Ababa"/>
    <s v=" Ethiopia"/>
  </r>
  <r>
    <s v="INV105"/>
    <s v="2024-12-15"/>
    <x v="3"/>
    <n v="9"/>
    <n v="30"/>
    <n v="270"/>
    <s v="Qamaan"/>
    <s v="Addis Ababa"/>
    <s v=" Ethiopia"/>
  </r>
  <r>
    <s v="INV106"/>
    <s v="2023-08-09"/>
    <x v="4"/>
    <n v="17"/>
    <n v="150"/>
    <n v="2550"/>
    <s v="Yusuf"/>
    <s v="Mogadishu"/>
    <s v=" Somalia"/>
  </r>
  <r>
    <s v="INV107"/>
    <s v="2023-04-10"/>
    <x v="4"/>
    <n v="6"/>
    <n v="150"/>
    <n v="900"/>
    <s v="Qamaan"/>
    <s v="Addis Ababa"/>
    <s v=" Ethiopia"/>
  </r>
  <r>
    <s v="INV108"/>
    <s v="2024-04-15"/>
    <x v="2"/>
    <n v="7"/>
    <n v="300"/>
    <n v="2100"/>
    <s v="Guled"/>
    <s v="Mogadishu"/>
    <s v=" Somalia"/>
  </r>
  <r>
    <s v="INV109"/>
    <s v="2024-07-19"/>
    <x v="4"/>
    <n v="7"/>
    <n v="150"/>
    <n v="1050"/>
    <s v="Guled"/>
    <s v="Addis Ababa"/>
    <s v=" Ethiopia"/>
  </r>
  <r>
    <s v="INV110"/>
    <s v="2023-02-16"/>
    <x v="5"/>
    <n v="7"/>
    <n v="200"/>
    <n v="1400"/>
    <s v="Qamaan"/>
    <s v="Nairobi"/>
    <s v=" Kenya"/>
  </r>
  <r>
    <s v="INV111"/>
    <s v="2023-08-27"/>
    <x v="0"/>
    <n v="19"/>
    <n v="800"/>
    <n v="15200"/>
    <s v="Qamaan"/>
    <s v="Kampala"/>
    <s v=" Uganda"/>
  </r>
  <r>
    <s v="INV112"/>
    <s v="2024-10-12"/>
    <x v="4"/>
    <n v="16"/>
    <n v="150"/>
    <n v="2400"/>
    <s v="Qamaan"/>
    <s v="Nairobi"/>
    <s v=" Kenya"/>
  </r>
  <r>
    <s v="INV113"/>
    <s v="2023-08-03"/>
    <x v="5"/>
    <n v="10"/>
    <n v="200"/>
    <n v="2000"/>
    <s v="Yusuf"/>
    <s v="Addis Ababa"/>
    <s v=" Ethiopia"/>
  </r>
  <r>
    <s v="INV114"/>
    <s v="2024-06-30"/>
    <x v="5"/>
    <n v="19"/>
    <n v="200"/>
    <n v="3800"/>
    <s v="Guled"/>
    <s v="Nairobi"/>
    <s v=" Kenya"/>
  </r>
  <r>
    <s v="INV115"/>
    <s v="2024-01-24"/>
    <x v="4"/>
    <n v="6"/>
    <n v="150"/>
    <n v="900"/>
    <s v="Qamaan"/>
    <s v="Nairobi"/>
    <s v=" Kenya"/>
  </r>
  <r>
    <s v="INV116"/>
    <s v="2023-08-23"/>
    <x v="0"/>
    <n v="13"/>
    <n v="800"/>
    <n v="10400"/>
    <s v="Guled"/>
    <s v="Addis Ababa"/>
    <s v=" Ethiopia"/>
  </r>
  <r>
    <s v="INV117"/>
    <s v="2023-03-09"/>
    <x v="1"/>
    <n v="20"/>
    <n v="50"/>
    <n v="1000"/>
    <s v="Yusuf"/>
    <s v="Addis Ababa"/>
    <s v=" Ethiopia"/>
  </r>
  <r>
    <s v="INV118"/>
    <s v="2024-02-10"/>
    <x v="5"/>
    <n v="13"/>
    <n v="200"/>
    <n v="2600"/>
    <s v="Yusuf"/>
    <s v="Kampala"/>
    <s v=" Uganda"/>
  </r>
  <r>
    <s v="INV119"/>
    <s v="2023-05-23"/>
    <x v="1"/>
    <n v="17"/>
    <n v="50"/>
    <n v="850"/>
    <s v="Guled"/>
    <s v="Addis Ababa"/>
    <s v=" Ethiopia"/>
  </r>
  <r>
    <s v="INV120"/>
    <s v="2024-01-06"/>
    <x v="1"/>
    <n v="7"/>
    <n v="50"/>
    <n v="350"/>
    <s v="Guled"/>
    <s v="Nairobi"/>
    <s v=" Kenya"/>
  </r>
  <r>
    <s v="INV121"/>
    <s v="2023-02-18"/>
    <x v="0"/>
    <n v="18"/>
    <n v="800"/>
    <n v="14400"/>
    <s v="Yusuf"/>
    <s v="Nairobi"/>
    <s v=" Kenya"/>
  </r>
  <r>
    <s v="INV122"/>
    <s v="2024-09-02"/>
    <x v="0"/>
    <n v="19"/>
    <n v="800"/>
    <n v="15200"/>
    <s v="Guled"/>
    <s v="Kampala"/>
    <s v=" Uganda"/>
  </r>
  <r>
    <s v="INV123"/>
    <s v="2024-06-25"/>
    <x v="4"/>
    <n v="13"/>
    <n v="150"/>
    <n v="1950"/>
    <s v="Yusuf"/>
    <s v="Mogadishu"/>
    <s v=" Somalia"/>
  </r>
  <r>
    <s v="INV124"/>
    <s v="2024-10-18"/>
    <x v="4"/>
    <n v="18"/>
    <n v="150"/>
    <n v="2700"/>
    <s v="Qamaan"/>
    <s v="Mogadishu"/>
    <s v=" Somalia"/>
  </r>
  <r>
    <s v="INV125"/>
    <s v="2023-06-11"/>
    <x v="3"/>
    <n v="10"/>
    <n v="30"/>
    <n v="300"/>
    <s v="Qamaan"/>
    <s v="Mogadishu"/>
    <s v=" Somalia"/>
  </r>
  <r>
    <s v="INV126"/>
    <s v="2024-06-03"/>
    <x v="0"/>
    <n v="9"/>
    <n v="800"/>
    <n v="7200"/>
    <s v="Yusuf"/>
    <s v="Addis Ababa"/>
    <s v=" Ethiopia"/>
  </r>
  <r>
    <s v="INV127"/>
    <s v="2024-01-18"/>
    <x v="1"/>
    <n v="20"/>
    <n v="50"/>
    <n v="1000"/>
    <s v="Qamaan"/>
    <s v="Mogadishu"/>
    <s v=" Somalia"/>
  </r>
  <r>
    <s v="INV128"/>
    <s v="2023-01-20"/>
    <x v="0"/>
    <n v="12"/>
    <n v="800"/>
    <n v="9600"/>
    <s v="Qamaan"/>
    <s v="Addis Ababa"/>
    <s v=" Ethiopia"/>
  </r>
  <r>
    <s v="INV129"/>
    <s v="2023-03-01"/>
    <x v="1"/>
    <n v="20"/>
    <n v="50"/>
    <n v="1000"/>
    <s v="Guled"/>
    <s v="Mogadishu"/>
    <s v=" Somal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A8B8F-B493-4FD1-9296-24F014473F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K3:L10" firstHeaderRow="1" firstDataRow="1" firstDataCol="1"/>
  <pivotFields count="9">
    <pivotField compact="0" outline="0" showAll="0"/>
    <pivotField compact="0" outline="0" showAll="0"/>
    <pivotField axis="axisRow" compact="0" outline="0" showAll="0">
      <items count="7">
        <item x="1"/>
        <item x="3"/>
        <item x="0"/>
        <item x="4"/>
        <item x="5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atal Price" fld="5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53F93-EAA9-4DDC-A3B9-FC6648FF59F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K35:L40" firstHeaderRow="1" firstDataRow="1" firstDataCol="1"/>
  <pivotFields count="9">
    <pivotField compact="0" outline="0" showAll="0"/>
    <pivotField compact="0" outline="0" showAll="0"/>
    <pivotField compact="0" outline="0" showAll="0">
      <items count="7">
        <item x="1"/>
        <item x="3"/>
        <item x="0"/>
        <item x="4"/>
        <item x="5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atal Price" fld="5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A1FE2-D793-44FD-A7D9-EC5AC5BE9EE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K18:L23" firstHeaderRow="1" firstDataRow="1" firstDataCol="1"/>
  <pivotFields count="9">
    <pivotField compact="0" outline="0" showAll="0"/>
    <pivotField compact="0" outline="0" showAll="0"/>
    <pivotField compact="0" outline="0" showAll="0">
      <items count="7">
        <item x="1"/>
        <item x="3"/>
        <item x="0"/>
        <item x="4"/>
        <item x="5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  <pivotField axis="axisRow" compact="0" outline="0" showAll="0">
      <items count="5">
        <item x="1"/>
        <item x="2"/>
        <item x="0"/>
        <item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atal Price" fld="5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D32EB-8E65-4CEB-8E9D-6EA5C9B4BE8B}" name="PivotTable2" cacheId="1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>
  <location ref="K3:N10" firstHeaderRow="1" firstDataRow="2" firstDataCol="1"/>
  <pivotFields count="9">
    <pivotField compact="0" outline="0" showAll="0"/>
    <pivotField compact="0" outline="0" showAll="0"/>
    <pivotField axis="axisRow" compact="0" outline="0" showAll="0">
      <items count="7">
        <item x="1"/>
        <item x="3"/>
        <item x="0"/>
        <item x="4"/>
        <item x="5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6"/>
  </colFields>
  <colItems count="3">
    <i>
      <x/>
    </i>
    <i>
      <x v="1"/>
    </i>
    <i>
      <x v="2"/>
    </i>
  </colItems>
  <dataFields count="1">
    <dataField name="Sum of Tatal Price" fld="5" baseField="0" baseItem="0" numFmtId="165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8B3DD-912C-4B3E-8AFA-A0CDF573B9C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12:L19" firstHeaderRow="1" firstDataRow="1" firstDataCol="1"/>
  <pivotFields count="9">
    <pivotField compact="0" outline="0" showAll="0"/>
    <pivotField compact="0" outline="0" showAll="0"/>
    <pivotField axis="axisRow" compact="0" outline="0" showAll="0" sortType="descending">
      <items count="7">
        <item x="2"/>
        <item x="5"/>
        <item x="4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 v="3"/>
    </i>
    <i>
      <x v="2"/>
    </i>
    <i>
      <x v="1"/>
    </i>
    <i>
      <x/>
    </i>
    <i>
      <x v="5"/>
    </i>
    <i>
      <x v="4"/>
    </i>
    <i t="grand">
      <x/>
    </i>
  </rowItems>
  <colItems count="1">
    <i/>
  </colItems>
  <dataFields count="1">
    <dataField name="Sum of Tatal Price" fld="5" baseField="0" baseItem="0" numFmtId="164"/>
  </dataFields>
  <formats count="12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2" type="button" dataOnly="0" labelOnly="1" outline="0" axis="axisRow" fieldPosition="0"/>
    </format>
    <format dxfId="39">
      <pivotArea dataOnly="0" labelOnly="1" outline="0" fieldPosition="0">
        <references count="1">
          <reference field="2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Row" fieldPosition="0"/>
    </format>
    <format dxfId="33">
      <pivotArea dataOnly="0" labelOnly="1" outline="0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32144-A301-4416-AF34-704CE6BFD27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3:L10" firstHeaderRow="1" firstDataRow="1" firstDataCol="1"/>
  <pivotFields count="9">
    <pivotField compact="0" outline="0" showAll="0"/>
    <pivotField compact="0" outline="0" showAll="0"/>
    <pivotField axis="axisRow" compact="0" outline="0" showAll="0" sortType="ascending">
      <items count="7">
        <item x="2"/>
        <item x="5"/>
        <item x="4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 v="4"/>
    </i>
    <i>
      <x v="5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atal Price" fld="5" baseField="0" baseItem="0" numFmtId="164"/>
  </dataFields>
  <formats count="12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2" type="button" dataOnly="0" labelOnly="1" outline="0" axis="axisRow" fieldPosition="0"/>
    </format>
    <format dxfId="51">
      <pivotArea dataOnly="0" labelOnly="1" outline="0" fieldPosition="0">
        <references count="1">
          <reference field="2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2" type="button" dataOnly="0" labelOnly="1" outline="0" axis="axisRow" fieldPosition="0"/>
    </format>
    <format dxfId="45">
      <pivotArea dataOnly="0" labelOnly="1" outline="0" fieldPosition="0">
        <references count="1">
          <reference field="2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E9D04-E10E-4A32-B45A-581BC7A5FD9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4:P13" firstHeaderRow="1" firstDataRow="3" firstDataCol="1"/>
  <pivotFields count="9">
    <pivotField compact="0" outline="0" showAll="0"/>
    <pivotField compact="0" outline="0" showAll="0"/>
    <pivotField axis="axisRow" compact="0" outline="0" showAll="0">
      <items count="7">
        <item x="1"/>
        <item x="3"/>
        <item x="0"/>
        <item x="4"/>
        <item x="5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axis="axisCol" compact="0" outline="0" showAll="0">
      <items count="4">
        <item x="2"/>
        <item x="0"/>
        <item x="1"/>
        <item t="default"/>
      </items>
    </pivotField>
    <pivotField axis="axisCol" compact="0" outline="0" showAll="0">
      <items count="5">
        <item sd="0" x="1"/>
        <item sd="0" x="3"/>
        <item sd="0" x="0"/>
        <item sd="0" x="2"/>
        <item t="default"/>
      </items>
    </pivotField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7"/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Tatal Price" fld="5" baseField="0" baseItem="0" numFmtId="164"/>
  </dataFields>
  <formats count="3">
    <format dxfId="26">
      <pivotArea type="all" dataOnly="0" outline="0" fieldPosition="0"/>
    </format>
    <format dxfId="25">
      <pivotArea type="all" dataOnly="0" outline="0" fieldPosition="0"/>
    </format>
    <format dxfId="2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9E12F-A61B-474C-AC40-EAF9B9E15C4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3:M14" firstHeaderRow="1" firstDataRow="1" firstDataCol="2"/>
  <pivotFields count="9">
    <pivotField compact="0" outline="0" showAll="0"/>
    <pivotField compact="0" outline="0" showAll="0"/>
    <pivotField axis="axisRow" compact="0" outline="0" showAll="0">
      <items count="7">
        <item x="1"/>
        <item x="3"/>
        <item x="0"/>
        <item x="4"/>
        <item x="5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>
      <items count="5">
        <item x="1"/>
        <item x="3"/>
        <item x="0"/>
        <item x="2"/>
        <item t="default"/>
      </items>
    </pivotField>
    <pivotField axis="axisRow" compact="0" outline="0" showAll="0">
      <items count="5">
        <item h="1" x="1"/>
        <item h="1" x="2"/>
        <item x="0"/>
        <item h="1" x="3"/>
        <item t="default"/>
      </items>
    </pivotField>
  </pivotFields>
  <rowFields count="2">
    <field x="2"/>
    <field x="8"/>
  </rowFields>
  <rowItems count="11">
    <i>
      <x/>
      <x v="2"/>
    </i>
    <i t="default">
      <x/>
    </i>
    <i>
      <x v="1"/>
      <x v="2"/>
    </i>
    <i t="default">
      <x v="1"/>
    </i>
    <i>
      <x v="2"/>
      <x v="2"/>
    </i>
    <i t="default">
      <x v="2"/>
    </i>
    <i>
      <x v="3"/>
      <x v="2"/>
    </i>
    <i t="default">
      <x v="3"/>
    </i>
    <i>
      <x v="5"/>
      <x v="2"/>
    </i>
    <i t="default">
      <x v="5"/>
    </i>
    <i t="grand">
      <x/>
    </i>
  </rowItems>
  <colItems count="1">
    <i/>
  </colItems>
  <dataFields count="1">
    <dataField name="Sum of Tatal Price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E1B17-B929-45D6-9BDC-B8D506C661E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3:R15" firstHeaderRow="1" firstDataRow="2" firstDataCol="2"/>
  <pivotFields count="9">
    <pivotField compact="0" outline="0" showAll="0"/>
    <pivotField compact="0" outline="0" showAll="0"/>
    <pivotField axis="axisRow" compact="0" outline="0" showAll="0">
      <items count="7">
        <item x="1"/>
        <item x="3"/>
        <item x="0"/>
        <item x="4"/>
        <item x="5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>
      <items count="4">
        <item x="2"/>
        <item x="0"/>
        <item x="1"/>
        <item t="default"/>
      </items>
    </pivotField>
    <pivotField axis="axisCol" compact="0" outline="0" showAll="0">
      <items count="5">
        <item h="1" x="1"/>
        <item h="1" x="3"/>
        <item x="0"/>
        <item h="1" x="2"/>
        <item t="default"/>
      </items>
    </pivotField>
    <pivotField axis="axisRow" compact="0" outline="0" showAll="0">
      <items count="5">
        <item x="1"/>
        <item x="2"/>
        <item x="0"/>
        <item x="3"/>
        <item t="default"/>
      </items>
    </pivotField>
  </pivotFields>
  <rowFields count="2">
    <field x="2"/>
    <field x="8"/>
  </rowFields>
  <rowItems count="11">
    <i>
      <x/>
      <x v="2"/>
    </i>
    <i t="default">
      <x/>
    </i>
    <i>
      <x v="1"/>
      <x v="2"/>
    </i>
    <i t="default">
      <x v="1"/>
    </i>
    <i>
      <x v="2"/>
      <x v="2"/>
    </i>
    <i t="default">
      <x v="2"/>
    </i>
    <i>
      <x v="3"/>
      <x v="2"/>
    </i>
    <i t="default">
      <x v="3"/>
    </i>
    <i>
      <x v="5"/>
      <x v="2"/>
    </i>
    <i t="default">
      <x v="5"/>
    </i>
    <i t="grand">
      <x/>
    </i>
  </rowItems>
  <colFields count="1">
    <field x="7"/>
  </colFields>
  <colItems count="2">
    <i>
      <x v="2"/>
    </i>
    <i t="grand">
      <x/>
    </i>
  </colItems>
  <dataFields count="1">
    <dataField name="Sum of Tatal Price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2E183-F655-4BC6-8CEA-00B3C3FC966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3:L10" firstHeaderRow="1" firstDataRow="1" firstDataCol="1"/>
  <pivotFields count="9">
    <pivotField compact="0" outline="0" showAll="0"/>
    <pivotField compact="0" outline="0" showAll="0"/>
    <pivotField axis="axisRow" compact="0" outline="0" showAll="0">
      <items count="7">
        <item x="1"/>
        <item x="3"/>
        <item x="0"/>
        <item x="4"/>
        <item x="5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atal Price" fld="5" baseField="0" baseItem="0" numFmtId="164"/>
  </dataFields>
  <formats count="12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" type="button" dataOnly="0" labelOnly="1" outline="0" axis="axisRow" fieldPosition="0"/>
    </format>
    <format dxfId="12">
      <pivotArea dataOnly="0" labelOnly="1" outline="0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2" type="button" dataOnly="0" labelOnly="1" outline="0" axis="axisRow" fieldPosition="0"/>
    </format>
    <format dxfId="6">
      <pivotArea dataOnly="0" labelOnly="1" outline="0" fieldPosition="0">
        <references count="1">
          <reference field="2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4137D6-4186-4217-AAEE-BA464CC4C7EF}" name="Table1" displayName="Table1" ref="A1:I31" totalsRowShown="0" headerRowDxfId="62" headerRowBorderDxfId="61" tableBorderDxfId="60">
  <autoFilter ref="A1:I31" xr:uid="{7A4137D6-4186-4217-AAEE-BA464CC4C7EF}"/>
  <tableColumns count="9">
    <tableColumn id="1" xr3:uid="{8B512C26-B9F5-4266-8E79-4B55D7C7F65E}" name="InvoiceID"/>
    <tableColumn id="2" xr3:uid="{3089F323-66B1-45B1-B916-C562F170732D}" name="Date"/>
    <tableColumn id="3" xr3:uid="{39B2019F-1F68-4312-A4F6-BF4379474DD0}" name="Product"/>
    <tableColumn id="4" xr3:uid="{8F99EF02-E41B-436A-8AF1-6144786C5632}" name="UnitsSold"/>
    <tableColumn id="5" xr3:uid="{A02D7C66-2832-4EFD-BF5F-7E30DCF0FFE3}" name="UnitPrice"/>
    <tableColumn id="9" xr3:uid="{76137977-F057-46E8-B9A1-C89792233ED9}" name="Tatal Price" dataDxfId="59">
      <calculatedColumnFormula>(Table1[[#This Row],[UnitsSold]]*Table1[[#This Row],[UnitPrice]])</calculatedColumnFormula>
    </tableColumn>
    <tableColumn id="6" xr3:uid="{09F22C7E-29EF-45B0-9619-9AD7B2688E3D}" name="SalesPerson"/>
    <tableColumn id="7" xr3:uid="{650C82C0-49F1-42E3-B3A5-7B1F6FE6584C}" name="City"/>
    <tableColumn id="8" xr3:uid="{808FAB8E-6367-4B21-8215-947FE8F4EB83}" name="Country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2928A1-BEB0-496C-A783-3A2990B1A063}" name="Table13" displayName="Table13" ref="A1:I31" totalsRowShown="0" headerRowDxfId="58" headerRowBorderDxfId="57" tableBorderDxfId="56">
  <autoFilter ref="A1:I31" xr:uid="{7F2928A1-BEB0-496C-A783-3A2990B1A063}"/>
  <tableColumns count="9">
    <tableColumn id="1" xr3:uid="{9E7833F3-86AE-4302-8DDC-53B550479F52}" name="InvoiceID"/>
    <tableColumn id="2" xr3:uid="{04A69AE8-34A6-497B-9A66-FD065AD9FE84}" name="Date"/>
    <tableColumn id="3" xr3:uid="{C7F807D9-C937-4ECF-8B5A-C502DCE133EA}" name="Product"/>
    <tableColumn id="4" xr3:uid="{E7288671-B8EB-44EC-B6AA-CE3D3509ABEB}" name="UnitsSold"/>
    <tableColumn id="5" xr3:uid="{4A1F0B1C-4E88-4FD4-B24A-9C303C7269C9}" name="UnitPrice"/>
    <tableColumn id="9" xr3:uid="{4FB3F555-C77F-489A-BD12-A604267C0E5C}" name="Tatal Price" dataDxfId="55">
      <calculatedColumnFormula>(Table13[[#This Row],[UnitsSold]]*Table13[[#This Row],[UnitPrice]])</calculatedColumnFormula>
    </tableColumn>
    <tableColumn id="6" xr3:uid="{378E20D7-274E-4696-9D0D-966FD907146F}" name="SalesPerson"/>
    <tableColumn id="7" xr3:uid="{2FFB61B6-A5C3-4EE9-975B-5F2E1B816F6F}" name="City"/>
    <tableColumn id="8" xr3:uid="{A4B92F10-8601-467F-9F97-57E8C7FF855E}" name="Country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B527DF-85FE-49EE-AD6B-1DCF909E7FF9}" name="Table14" displayName="Table14" ref="A1:I31" totalsRowShown="0" headerRowDxfId="30" headerRowBorderDxfId="29" tableBorderDxfId="28">
  <autoFilter ref="A1:I31" xr:uid="{D2B527DF-85FE-49EE-AD6B-1DCF909E7FF9}"/>
  <tableColumns count="9">
    <tableColumn id="1" xr3:uid="{FD51606E-33D0-4745-859A-67D012C945E6}" name="InvoiceID"/>
    <tableColumn id="2" xr3:uid="{87EB34D9-1E1F-4AEC-9A1A-89C7676A00E6}" name="Date"/>
    <tableColumn id="3" xr3:uid="{D4A91ECA-59AE-49DC-9497-CEE714057D97}" name="Product"/>
    <tableColumn id="4" xr3:uid="{D412BC10-5A9C-47BA-A646-0DC7D98A7145}" name="UnitsSold"/>
    <tableColumn id="5" xr3:uid="{CD98F9AB-3B23-4F9F-8476-69167DDE30EE}" name="UnitPrice"/>
    <tableColumn id="9" xr3:uid="{A2ABC094-D037-4A0D-B11F-22EECDAABA3D}" name="Tatal Price" dataDxfId="27">
      <calculatedColumnFormula>(Table14[[#This Row],[UnitsSold]]*Table14[[#This Row],[UnitPrice]])</calculatedColumnFormula>
    </tableColumn>
    <tableColumn id="6" xr3:uid="{9C3B17F5-1B05-4044-BCA0-D9C955DE9B5D}" name="SalesPerson"/>
    <tableColumn id="7" xr3:uid="{27D074B9-4031-4840-BEE6-073FE1804A17}" name="City"/>
    <tableColumn id="8" xr3:uid="{C6F5AD08-D197-4AA4-A9D0-BC37C3CECDBD}" name="Country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4D95F6-689E-44E1-A25A-FD358C797FF0}" name="Table145" displayName="Table145" ref="A1:I31" totalsRowShown="0" headerRowDxfId="23" headerRowBorderDxfId="22" tableBorderDxfId="21">
  <autoFilter ref="A1:I31" xr:uid="{844D95F6-689E-44E1-A25A-FD358C797FF0}"/>
  <tableColumns count="9">
    <tableColumn id="1" xr3:uid="{211FC7E0-970F-43F6-8E6B-3BE61A6298C2}" name="InvoiceID"/>
    <tableColumn id="2" xr3:uid="{08540A00-50AE-4573-B7C9-2728E505E257}" name="Date"/>
    <tableColumn id="3" xr3:uid="{FF3BE5CD-C2AC-4CD1-B1EE-6A57DA3A07B8}" name="Product"/>
    <tableColumn id="4" xr3:uid="{DAE2415C-28D1-4EAB-996D-3C01E712CEA8}" name="UnitsSold"/>
    <tableColumn id="5" xr3:uid="{9C45D295-B154-46C5-AC77-8E6DB056D083}" name="UnitPrice"/>
    <tableColumn id="9" xr3:uid="{66AE3367-1FFE-428E-B9B9-AEB71147B740}" name="Tatal Price" dataDxfId="20">
      <calculatedColumnFormula>(Table145[[#This Row],[UnitsSold]]*Table145[[#This Row],[UnitPrice]])</calculatedColumnFormula>
    </tableColumn>
    <tableColumn id="6" xr3:uid="{1699F2AD-3033-4B8C-8C7D-28425C560AD7}" name="SalesPerson"/>
    <tableColumn id="7" xr3:uid="{C99F5186-3851-49A4-BAE9-C35FDE3474F0}" name="City"/>
    <tableColumn id="8" xr3:uid="{24FF4DA1-3AE0-4FD5-AEB8-B32034225B9C}" name="Country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D0630E-9F95-49F3-BC94-0A0296DED205}" name="Table1456" displayName="Table1456" ref="A1:I31" totalsRowShown="0" headerRowDxfId="19" headerRowBorderDxfId="18" tableBorderDxfId="17">
  <autoFilter ref="A1:I31" xr:uid="{E6D0630E-9F95-49F3-BC94-0A0296DED205}"/>
  <tableColumns count="9">
    <tableColumn id="1" xr3:uid="{3C5007DD-2204-42D0-B491-A6B6FCFB66A2}" name="InvoiceID"/>
    <tableColumn id="2" xr3:uid="{47F81A7F-F1D0-4565-A64F-A01E53199487}" name="Date"/>
    <tableColumn id="3" xr3:uid="{0AA58E3F-FBCB-4A5E-B264-78C8D4187467}" name="Product"/>
    <tableColumn id="4" xr3:uid="{496D29F5-F50F-45A6-8B5A-BE8958E1503F}" name="UnitsSold"/>
    <tableColumn id="5" xr3:uid="{98A32344-1E19-4CD8-9612-6F792B2D27CF}" name="UnitPrice"/>
    <tableColumn id="9" xr3:uid="{4B542CED-E18D-44E9-A169-E9122FDCD4B2}" name="Tatal Price" dataDxfId="16">
      <calculatedColumnFormula>(Table1456[[#This Row],[UnitsSold]]*Table1456[[#This Row],[UnitPrice]])</calculatedColumnFormula>
    </tableColumn>
    <tableColumn id="6" xr3:uid="{98487435-52A2-4927-B27A-5A28E9C915EC}" name="SalesPerson"/>
    <tableColumn id="7" xr3:uid="{675C51A2-7136-4099-918D-7157144E556D}" name="City"/>
    <tableColumn id="8" xr3:uid="{CCC6E909-4E8B-4C89-88B5-0E944018DB96}" name="Country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82D0E7-D839-48A6-AE5A-C04DE8B0F444}" name="Table14567" displayName="Table14567" ref="A1:I31" totalsRowShown="0" headerRowDxfId="3" headerRowBorderDxfId="2" tableBorderDxfId="1">
  <autoFilter ref="A1:I31" xr:uid="{6182D0E7-D839-48A6-AE5A-C04DE8B0F444}"/>
  <tableColumns count="9">
    <tableColumn id="1" xr3:uid="{00906B5E-5E2B-4723-BC2E-2C6B5BCAC4CF}" name="InvoiceID"/>
    <tableColumn id="2" xr3:uid="{A2568031-B8F3-466A-B70B-4E414CB88F8E}" name="Date"/>
    <tableColumn id="3" xr3:uid="{F2BD5D66-943D-4726-B401-1EE802F3F0B0}" name="Product"/>
    <tableColumn id="4" xr3:uid="{C1FD0750-979F-4D86-BE47-FBA5CC6DFF63}" name="UnitsSold"/>
    <tableColumn id="5" xr3:uid="{27DF73E1-7FB3-49C7-BC0E-966ADAE96AD6}" name="UnitPrice"/>
    <tableColumn id="9" xr3:uid="{4FDF7443-B7BE-4C96-AC98-91963C519BAF}" name=" " dataDxfId="0">
      <calculatedColumnFormula>(Table14567[[#This Row],[UnitsSold]]*Table14567[[#This Row],[UnitPrice]])</calculatedColumnFormula>
    </tableColumn>
    <tableColumn id="6" xr3:uid="{40DA3691-D0FC-4438-8DD7-FC57DA310FBD}" name="SalesPerson"/>
    <tableColumn id="7" xr3:uid="{A19BC18E-6295-4BB1-97C5-D83737F60B7C}" name="City"/>
    <tableColumn id="8" xr3:uid="{91FAFD54-2435-4CF3-B66F-FE2676DFFA27}" name="Countr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zoomScale="91" workbookViewId="0">
      <selection activeCell="L47" sqref="L47"/>
    </sheetView>
  </sheetViews>
  <sheetFormatPr defaultRowHeight="14.5" x14ac:dyDescent="0.35"/>
  <cols>
    <col min="1" max="1" width="13.08984375" bestFit="1" customWidth="1"/>
    <col min="2" max="2" width="10.08984375" bestFit="1" customWidth="1"/>
    <col min="3" max="3" width="12" bestFit="1" customWidth="1"/>
    <col min="4" max="4" width="13.26953125" bestFit="1" customWidth="1"/>
    <col min="5" max="5" width="13" bestFit="1" customWidth="1"/>
    <col min="6" max="6" width="13" customWidth="1"/>
    <col min="7" max="7" width="15.36328125" bestFit="1" customWidth="1"/>
    <col min="8" max="8" width="11.26953125" bestFit="1" customWidth="1"/>
    <col min="9" max="9" width="12.08984375" bestFit="1" customWidth="1"/>
    <col min="11" max="11" width="11.26953125" bestFit="1" customWidth="1"/>
    <col min="12" max="12" width="15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</v>
      </c>
      <c r="G1" s="1" t="s">
        <v>5</v>
      </c>
      <c r="H1" s="1" t="s">
        <v>6</v>
      </c>
      <c r="I1" s="1" t="s">
        <v>7</v>
      </c>
    </row>
    <row r="2" spans="1:12" x14ac:dyDescent="0.35">
      <c r="A2" t="s">
        <v>8</v>
      </c>
      <c r="B2" t="s">
        <v>38</v>
      </c>
      <c r="C2" t="s">
        <v>68</v>
      </c>
      <c r="D2">
        <v>12</v>
      </c>
      <c r="E2">
        <v>800</v>
      </c>
      <c r="F2" s="2">
        <f>(Table1[[#This Row],[UnitsSold]]*Table1[[#This Row],[UnitPrice]])</f>
        <v>9600</v>
      </c>
      <c r="G2" t="s">
        <v>82</v>
      </c>
      <c r="H2" t="s">
        <v>74</v>
      </c>
      <c r="I2" t="s">
        <v>78</v>
      </c>
    </row>
    <row r="3" spans="1:12" x14ac:dyDescent="0.35">
      <c r="A3" t="s">
        <v>9</v>
      </c>
      <c r="B3" t="s">
        <v>39</v>
      </c>
      <c r="C3" t="s">
        <v>69</v>
      </c>
      <c r="D3">
        <v>18</v>
      </c>
      <c r="E3">
        <v>50</v>
      </c>
      <c r="F3" s="2">
        <f>(Table1[[#This Row],[UnitsSold]]*Table1[[#This Row],[UnitPrice]])</f>
        <v>900</v>
      </c>
      <c r="G3" t="s">
        <v>83</v>
      </c>
      <c r="H3" t="s">
        <v>74</v>
      </c>
      <c r="I3" t="s">
        <v>78</v>
      </c>
      <c r="K3" s="3" t="s">
        <v>2</v>
      </c>
      <c r="L3" t="s">
        <v>87</v>
      </c>
    </row>
    <row r="4" spans="1:12" x14ac:dyDescent="0.35">
      <c r="A4" t="s">
        <v>10</v>
      </c>
      <c r="B4" t="s">
        <v>40</v>
      </c>
      <c r="C4" t="s">
        <v>68</v>
      </c>
      <c r="D4">
        <v>12</v>
      </c>
      <c r="E4">
        <v>800</v>
      </c>
      <c r="F4" s="2">
        <f>(Table1[[#This Row],[UnitsSold]]*Table1[[#This Row],[UnitPrice]])</f>
        <v>9600</v>
      </c>
      <c r="G4" t="s">
        <v>84</v>
      </c>
      <c r="H4" t="s">
        <v>74</v>
      </c>
      <c r="I4" t="s">
        <v>78</v>
      </c>
      <c r="K4" t="s">
        <v>69</v>
      </c>
      <c r="L4" s="2">
        <v>5100</v>
      </c>
    </row>
    <row r="5" spans="1:12" x14ac:dyDescent="0.35">
      <c r="A5" t="s">
        <v>11</v>
      </c>
      <c r="B5" t="s">
        <v>41</v>
      </c>
      <c r="C5" t="s">
        <v>70</v>
      </c>
      <c r="D5">
        <v>18</v>
      </c>
      <c r="E5">
        <v>300</v>
      </c>
      <c r="F5" s="2">
        <f>(Table1[[#This Row],[UnitsSold]]*Table1[[#This Row],[UnitPrice]])</f>
        <v>5400</v>
      </c>
      <c r="G5" t="s">
        <v>84</v>
      </c>
      <c r="H5" t="s">
        <v>74</v>
      </c>
      <c r="I5" t="s">
        <v>78</v>
      </c>
      <c r="K5" t="s">
        <v>71</v>
      </c>
      <c r="L5" s="2">
        <v>870</v>
      </c>
    </row>
    <row r="6" spans="1:12" x14ac:dyDescent="0.35">
      <c r="A6" t="s">
        <v>12</v>
      </c>
      <c r="B6" t="s">
        <v>42</v>
      </c>
      <c r="C6" t="s">
        <v>71</v>
      </c>
      <c r="D6">
        <v>10</v>
      </c>
      <c r="E6">
        <v>30</v>
      </c>
      <c r="F6" s="2">
        <f>(Table1[[#This Row],[UnitsSold]]*Table1[[#This Row],[UnitPrice]])</f>
        <v>300</v>
      </c>
      <c r="G6" t="s">
        <v>83</v>
      </c>
      <c r="H6" t="s">
        <v>75</v>
      </c>
      <c r="I6" t="s">
        <v>79</v>
      </c>
      <c r="K6" t="s">
        <v>68</v>
      </c>
      <c r="L6" s="2">
        <v>91200</v>
      </c>
    </row>
    <row r="7" spans="1:12" x14ac:dyDescent="0.35">
      <c r="A7" t="s">
        <v>13</v>
      </c>
      <c r="B7" t="s">
        <v>43</v>
      </c>
      <c r="C7" t="s">
        <v>71</v>
      </c>
      <c r="D7">
        <v>9</v>
      </c>
      <c r="E7">
        <v>30</v>
      </c>
      <c r="F7" s="2">
        <f>(Table1[[#This Row],[UnitsSold]]*Table1[[#This Row],[UnitPrice]])</f>
        <v>270</v>
      </c>
      <c r="G7" t="s">
        <v>82</v>
      </c>
      <c r="H7" t="s">
        <v>75</v>
      </c>
      <c r="I7" t="s">
        <v>79</v>
      </c>
      <c r="K7" t="s">
        <v>72</v>
      </c>
      <c r="L7" s="2">
        <v>12450</v>
      </c>
    </row>
    <row r="8" spans="1:12" x14ac:dyDescent="0.35">
      <c r="A8" t="s">
        <v>14</v>
      </c>
      <c r="B8" t="s">
        <v>44</v>
      </c>
      <c r="C8" t="s">
        <v>72</v>
      </c>
      <c r="D8">
        <v>17</v>
      </c>
      <c r="E8">
        <v>150</v>
      </c>
      <c r="F8" s="2">
        <f>(Table1[[#This Row],[UnitsSold]]*Table1[[#This Row],[UnitPrice]])</f>
        <v>2550</v>
      </c>
      <c r="G8" t="s">
        <v>83</v>
      </c>
      <c r="H8" t="s">
        <v>74</v>
      </c>
      <c r="I8" t="s">
        <v>78</v>
      </c>
      <c r="K8" t="s">
        <v>73</v>
      </c>
      <c r="L8" s="2">
        <v>9800</v>
      </c>
    </row>
    <row r="9" spans="1:12" x14ac:dyDescent="0.35">
      <c r="A9" t="s">
        <v>15</v>
      </c>
      <c r="B9" t="s">
        <v>45</v>
      </c>
      <c r="C9" t="s">
        <v>72</v>
      </c>
      <c r="D9">
        <v>6</v>
      </c>
      <c r="E9">
        <v>150</v>
      </c>
      <c r="F9" s="2">
        <f>(Table1[[#This Row],[UnitsSold]]*Table1[[#This Row],[UnitPrice]])</f>
        <v>900</v>
      </c>
      <c r="G9" t="s">
        <v>82</v>
      </c>
      <c r="H9" t="s">
        <v>75</v>
      </c>
      <c r="I9" t="s">
        <v>79</v>
      </c>
      <c r="K9" t="s">
        <v>70</v>
      </c>
      <c r="L9" s="2">
        <v>7500</v>
      </c>
    </row>
    <row r="10" spans="1:12" x14ac:dyDescent="0.35">
      <c r="A10" t="s">
        <v>16</v>
      </c>
      <c r="B10" t="s">
        <v>46</v>
      </c>
      <c r="C10" t="s">
        <v>70</v>
      </c>
      <c r="D10">
        <v>7</v>
      </c>
      <c r="E10">
        <v>300</v>
      </c>
      <c r="F10" s="2">
        <f>(Table1[[#This Row],[UnitsSold]]*Table1[[#This Row],[UnitPrice]])</f>
        <v>2100</v>
      </c>
      <c r="G10" t="s">
        <v>84</v>
      </c>
      <c r="H10" t="s">
        <v>74</v>
      </c>
      <c r="I10" t="s">
        <v>78</v>
      </c>
      <c r="K10" t="s">
        <v>86</v>
      </c>
      <c r="L10" s="2">
        <v>126920</v>
      </c>
    </row>
    <row r="11" spans="1:12" x14ac:dyDescent="0.35">
      <c r="A11" t="s">
        <v>17</v>
      </c>
      <c r="B11" t="s">
        <v>47</v>
      </c>
      <c r="C11" t="s">
        <v>72</v>
      </c>
      <c r="D11">
        <v>7</v>
      </c>
      <c r="E11">
        <v>150</v>
      </c>
      <c r="F11" s="2">
        <f>(Table1[[#This Row],[UnitsSold]]*Table1[[#This Row],[UnitPrice]])</f>
        <v>1050</v>
      </c>
      <c r="G11" t="s">
        <v>84</v>
      </c>
      <c r="H11" t="s">
        <v>75</v>
      </c>
      <c r="I11" t="s">
        <v>79</v>
      </c>
    </row>
    <row r="12" spans="1:12" x14ac:dyDescent="0.35">
      <c r="A12" t="s">
        <v>18</v>
      </c>
      <c r="B12" t="s">
        <v>48</v>
      </c>
      <c r="C12" t="s">
        <v>73</v>
      </c>
      <c r="D12">
        <v>7</v>
      </c>
      <c r="E12">
        <v>200</v>
      </c>
      <c r="F12" s="2">
        <f>(Table1[[#This Row],[UnitsSold]]*Table1[[#This Row],[UnitPrice]])</f>
        <v>1400</v>
      </c>
      <c r="G12" t="s">
        <v>82</v>
      </c>
      <c r="H12" t="s">
        <v>76</v>
      </c>
      <c r="I12" t="s">
        <v>80</v>
      </c>
    </row>
    <row r="13" spans="1:12" x14ac:dyDescent="0.35">
      <c r="A13" t="s">
        <v>19</v>
      </c>
      <c r="B13" t="s">
        <v>49</v>
      </c>
      <c r="C13" t="s">
        <v>68</v>
      </c>
      <c r="D13">
        <v>19</v>
      </c>
      <c r="E13">
        <v>800</v>
      </c>
      <c r="F13" s="2">
        <f>(Table1[[#This Row],[UnitsSold]]*Table1[[#This Row],[UnitPrice]])</f>
        <v>15200</v>
      </c>
      <c r="G13" t="s">
        <v>82</v>
      </c>
      <c r="H13" t="s">
        <v>77</v>
      </c>
      <c r="I13" t="s">
        <v>81</v>
      </c>
    </row>
    <row r="14" spans="1:12" x14ac:dyDescent="0.35">
      <c r="A14" t="s">
        <v>20</v>
      </c>
      <c r="B14" t="s">
        <v>50</v>
      </c>
      <c r="C14" t="s">
        <v>72</v>
      </c>
      <c r="D14">
        <v>16</v>
      </c>
      <c r="E14">
        <v>150</v>
      </c>
      <c r="F14" s="2">
        <f>(Table1[[#This Row],[UnitsSold]]*Table1[[#This Row],[UnitPrice]])</f>
        <v>2400</v>
      </c>
      <c r="G14" t="s">
        <v>82</v>
      </c>
      <c r="H14" t="s">
        <v>76</v>
      </c>
      <c r="I14" t="s">
        <v>80</v>
      </c>
    </row>
    <row r="15" spans="1:12" x14ac:dyDescent="0.35">
      <c r="A15" t="s">
        <v>21</v>
      </c>
      <c r="B15" t="s">
        <v>51</v>
      </c>
      <c r="C15" t="s">
        <v>73</v>
      </c>
      <c r="D15">
        <v>10</v>
      </c>
      <c r="E15">
        <v>200</v>
      </c>
      <c r="F15" s="2">
        <f>(Table1[[#This Row],[UnitsSold]]*Table1[[#This Row],[UnitPrice]])</f>
        <v>2000</v>
      </c>
      <c r="G15" t="s">
        <v>83</v>
      </c>
      <c r="H15" t="s">
        <v>75</v>
      </c>
      <c r="I15" t="s">
        <v>79</v>
      </c>
    </row>
    <row r="16" spans="1:12" x14ac:dyDescent="0.35">
      <c r="A16" t="s">
        <v>22</v>
      </c>
      <c r="B16" t="s">
        <v>52</v>
      </c>
      <c r="C16" t="s">
        <v>73</v>
      </c>
      <c r="D16">
        <v>19</v>
      </c>
      <c r="E16">
        <v>200</v>
      </c>
      <c r="F16" s="2">
        <f>(Table1[[#This Row],[UnitsSold]]*Table1[[#This Row],[UnitPrice]])</f>
        <v>3800</v>
      </c>
      <c r="G16" t="s">
        <v>84</v>
      </c>
      <c r="H16" t="s">
        <v>76</v>
      </c>
      <c r="I16" t="s">
        <v>80</v>
      </c>
    </row>
    <row r="17" spans="1:12" x14ac:dyDescent="0.35">
      <c r="A17" t="s">
        <v>23</v>
      </c>
      <c r="B17" t="s">
        <v>53</v>
      </c>
      <c r="C17" t="s">
        <v>72</v>
      </c>
      <c r="D17">
        <v>6</v>
      </c>
      <c r="E17">
        <v>150</v>
      </c>
      <c r="F17" s="2">
        <f>(Table1[[#This Row],[UnitsSold]]*Table1[[#This Row],[UnitPrice]])</f>
        <v>900</v>
      </c>
      <c r="G17" t="s">
        <v>82</v>
      </c>
      <c r="H17" t="s">
        <v>76</v>
      </c>
      <c r="I17" t="s">
        <v>80</v>
      </c>
    </row>
    <row r="18" spans="1:12" x14ac:dyDescent="0.35">
      <c r="A18" t="s">
        <v>24</v>
      </c>
      <c r="B18" t="s">
        <v>54</v>
      </c>
      <c r="C18" t="s">
        <v>68</v>
      </c>
      <c r="D18">
        <v>13</v>
      </c>
      <c r="E18">
        <v>800</v>
      </c>
      <c r="F18" s="2">
        <f>(Table1[[#This Row],[UnitsSold]]*Table1[[#This Row],[UnitPrice]])</f>
        <v>10400</v>
      </c>
      <c r="G18" t="s">
        <v>84</v>
      </c>
      <c r="H18" t="s">
        <v>75</v>
      </c>
      <c r="I18" t="s">
        <v>79</v>
      </c>
      <c r="K18" s="3" t="s">
        <v>7</v>
      </c>
      <c r="L18" t="s">
        <v>87</v>
      </c>
    </row>
    <row r="19" spans="1:12" x14ac:dyDescent="0.35">
      <c r="A19" t="s">
        <v>25</v>
      </c>
      <c r="B19" t="s">
        <v>55</v>
      </c>
      <c r="C19" t="s">
        <v>69</v>
      </c>
      <c r="D19">
        <v>20</v>
      </c>
      <c r="E19">
        <v>50</v>
      </c>
      <c r="F19" s="2">
        <f>(Table1[[#This Row],[UnitsSold]]*Table1[[#This Row],[UnitPrice]])</f>
        <v>1000</v>
      </c>
      <c r="G19" t="s">
        <v>83</v>
      </c>
      <c r="H19" t="s">
        <v>75</v>
      </c>
      <c r="I19" t="s">
        <v>79</v>
      </c>
      <c r="K19" t="s">
        <v>79</v>
      </c>
      <c r="L19" s="2">
        <v>33570</v>
      </c>
    </row>
    <row r="20" spans="1:12" x14ac:dyDescent="0.35">
      <c r="A20" t="s">
        <v>26</v>
      </c>
      <c r="B20" t="s">
        <v>56</v>
      </c>
      <c r="C20" t="s">
        <v>73</v>
      </c>
      <c r="D20">
        <v>13</v>
      </c>
      <c r="E20">
        <v>200</v>
      </c>
      <c r="F20" s="2">
        <f>(Table1[[#This Row],[UnitsSold]]*Table1[[#This Row],[UnitPrice]])</f>
        <v>2600</v>
      </c>
      <c r="G20" t="s">
        <v>83</v>
      </c>
      <c r="H20" t="s">
        <v>77</v>
      </c>
      <c r="I20" t="s">
        <v>81</v>
      </c>
      <c r="K20" t="s">
        <v>80</v>
      </c>
      <c r="L20" s="2">
        <v>23250</v>
      </c>
    </row>
    <row r="21" spans="1:12" x14ac:dyDescent="0.35">
      <c r="A21" t="s">
        <v>27</v>
      </c>
      <c r="B21" t="s">
        <v>57</v>
      </c>
      <c r="C21" t="s">
        <v>69</v>
      </c>
      <c r="D21">
        <v>17</v>
      </c>
      <c r="E21">
        <v>50</v>
      </c>
      <c r="F21" s="2">
        <f>(Table1[[#This Row],[UnitsSold]]*Table1[[#This Row],[UnitPrice]])</f>
        <v>850</v>
      </c>
      <c r="G21" t="s">
        <v>84</v>
      </c>
      <c r="H21" t="s">
        <v>75</v>
      </c>
      <c r="I21" t="s">
        <v>79</v>
      </c>
      <c r="K21" t="s">
        <v>78</v>
      </c>
      <c r="L21" s="2">
        <v>37100</v>
      </c>
    </row>
    <row r="22" spans="1:12" x14ac:dyDescent="0.35">
      <c r="A22" t="s">
        <v>28</v>
      </c>
      <c r="B22" t="s">
        <v>58</v>
      </c>
      <c r="C22" t="s">
        <v>69</v>
      </c>
      <c r="D22">
        <v>7</v>
      </c>
      <c r="E22">
        <v>50</v>
      </c>
      <c r="F22" s="2">
        <f>(Table1[[#This Row],[UnitsSold]]*Table1[[#This Row],[UnitPrice]])</f>
        <v>350</v>
      </c>
      <c r="G22" t="s">
        <v>84</v>
      </c>
      <c r="H22" t="s">
        <v>76</v>
      </c>
      <c r="I22" t="s">
        <v>80</v>
      </c>
      <c r="K22" t="s">
        <v>81</v>
      </c>
      <c r="L22" s="2">
        <v>33000</v>
      </c>
    </row>
    <row r="23" spans="1:12" x14ac:dyDescent="0.35">
      <c r="A23" t="s">
        <v>29</v>
      </c>
      <c r="B23" t="s">
        <v>59</v>
      </c>
      <c r="C23" t="s">
        <v>68</v>
      </c>
      <c r="D23">
        <v>18</v>
      </c>
      <c r="E23">
        <v>800</v>
      </c>
      <c r="F23" s="2">
        <f>(Table1[[#This Row],[UnitsSold]]*Table1[[#This Row],[UnitPrice]])</f>
        <v>14400</v>
      </c>
      <c r="G23" t="s">
        <v>83</v>
      </c>
      <c r="H23" t="s">
        <v>76</v>
      </c>
      <c r="I23" t="s">
        <v>80</v>
      </c>
      <c r="K23" t="s">
        <v>86</v>
      </c>
      <c r="L23" s="2">
        <v>126920</v>
      </c>
    </row>
    <row r="24" spans="1:12" x14ac:dyDescent="0.35">
      <c r="A24" t="s">
        <v>30</v>
      </c>
      <c r="B24" t="s">
        <v>60</v>
      </c>
      <c r="C24" t="s">
        <v>68</v>
      </c>
      <c r="D24">
        <v>19</v>
      </c>
      <c r="E24">
        <v>800</v>
      </c>
      <c r="F24" s="2">
        <f>(Table1[[#This Row],[UnitsSold]]*Table1[[#This Row],[UnitPrice]])</f>
        <v>15200</v>
      </c>
      <c r="G24" t="s">
        <v>84</v>
      </c>
      <c r="H24" t="s">
        <v>77</v>
      </c>
      <c r="I24" t="s">
        <v>81</v>
      </c>
    </row>
    <row r="25" spans="1:12" x14ac:dyDescent="0.35">
      <c r="A25" t="s">
        <v>31</v>
      </c>
      <c r="B25" t="s">
        <v>61</v>
      </c>
      <c r="C25" t="s">
        <v>72</v>
      </c>
      <c r="D25">
        <v>13</v>
      </c>
      <c r="E25">
        <v>150</v>
      </c>
      <c r="F25" s="2">
        <f>(Table1[[#This Row],[UnitsSold]]*Table1[[#This Row],[UnitPrice]])</f>
        <v>1950</v>
      </c>
      <c r="G25" t="s">
        <v>83</v>
      </c>
      <c r="H25" t="s">
        <v>74</v>
      </c>
      <c r="I25" t="s">
        <v>78</v>
      </c>
    </row>
    <row r="26" spans="1:12" x14ac:dyDescent="0.35">
      <c r="A26" t="s">
        <v>32</v>
      </c>
      <c r="B26" t="s">
        <v>62</v>
      </c>
      <c r="C26" t="s">
        <v>72</v>
      </c>
      <c r="D26">
        <v>18</v>
      </c>
      <c r="E26">
        <v>150</v>
      </c>
      <c r="F26" s="2">
        <f>(Table1[[#This Row],[UnitsSold]]*Table1[[#This Row],[UnitPrice]])</f>
        <v>2700</v>
      </c>
      <c r="G26" t="s">
        <v>82</v>
      </c>
      <c r="H26" t="s">
        <v>74</v>
      </c>
      <c r="I26" t="s">
        <v>78</v>
      </c>
    </row>
    <row r="27" spans="1:12" x14ac:dyDescent="0.35">
      <c r="A27" t="s">
        <v>33</v>
      </c>
      <c r="B27" t="s">
        <v>63</v>
      </c>
      <c r="C27" t="s">
        <v>71</v>
      </c>
      <c r="D27">
        <v>10</v>
      </c>
      <c r="E27">
        <v>30</v>
      </c>
      <c r="F27" s="2">
        <f>(Table1[[#This Row],[UnitsSold]]*Table1[[#This Row],[UnitPrice]])</f>
        <v>300</v>
      </c>
      <c r="G27" t="s">
        <v>82</v>
      </c>
      <c r="H27" t="s">
        <v>74</v>
      </c>
      <c r="I27" t="s">
        <v>78</v>
      </c>
    </row>
    <row r="28" spans="1:12" x14ac:dyDescent="0.35">
      <c r="A28" t="s">
        <v>34</v>
      </c>
      <c r="B28" t="s">
        <v>64</v>
      </c>
      <c r="C28" t="s">
        <v>68</v>
      </c>
      <c r="D28">
        <v>9</v>
      </c>
      <c r="E28">
        <v>800</v>
      </c>
      <c r="F28" s="2">
        <f>(Table1[[#This Row],[UnitsSold]]*Table1[[#This Row],[UnitPrice]])</f>
        <v>7200</v>
      </c>
      <c r="G28" t="s">
        <v>83</v>
      </c>
      <c r="H28" t="s">
        <v>75</v>
      </c>
      <c r="I28" t="s">
        <v>79</v>
      </c>
    </row>
    <row r="29" spans="1:12" x14ac:dyDescent="0.35">
      <c r="A29" t="s">
        <v>35</v>
      </c>
      <c r="B29" t="s">
        <v>65</v>
      </c>
      <c r="C29" t="s">
        <v>69</v>
      </c>
      <c r="D29">
        <v>20</v>
      </c>
      <c r="E29">
        <v>50</v>
      </c>
      <c r="F29" s="2">
        <f>(Table1[[#This Row],[UnitsSold]]*Table1[[#This Row],[UnitPrice]])</f>
        <v>1000</v>
      </c>
      <c r="G29" t="s">
        <v>82</v>
      </c>
      <c r="H29" t="s">
        <v>74</v>
      </c>
      <c r="I29" t="s">
        <v>78</v>
      </c>
    </row>
    <row r="30" spans="1:12" x14ac:dyDescent="0.35">
      <c r="A30" t="s">
        <v>36</v>
      </c>
      <c r="B30" t="s">
        <v>66</v>
      </c>
      <c r="C30" t="s">
        <v>68</v>
      </c>
      <c r="D30">
        <v>12</v>
      </c>
      <c r="E30">
        <v>800</v>
      </c>
      <c r="F30" s="2">
        <f>(Table1[[#This Row],[UnitsSold]]*Table1[[#This Row],[UnitPrice]])</f>
        <v>9600</v>
      </c>
      <c r="G30" t="s">
        <v>82</v>
      </c>
      <c r="H30" t="s">
        <v>75</v>
      </c>
      <c r="I30" t="s">
        <v>79</v>
      </c>
    </row>
    <row r="31" spans="1:12" x14ac:dyDescent="0.35">
      <c r="A31" t="s">
        <v>37</v>
      </c>
      <c r="B31" t="s">
        <v>67</v>
      </c>
      <c r="C31" t="s">
        <v>69</v>
      </c>
      <c r="D31">
        <v>20</v>
      </c>
      <c r="E31">
        <v>50</v>
      </c>
      <c r="F31" s="2">
        <f>(Table1[[#This Row],[UnitsSold]]*Table1[[#This Row],[UnitPrice]])</f>
        <v>1000</v>
      </c>
      <c r="G31" t="s">
        <v>84</v>
      </c>
      <c r="H31" t="s">
        <v>74</v>
      </c>
      <c r="I31" t="s">
        <v>78</v>
      </c>
    </row>
    <row r="35" spans="11:12" x14ac:dyDescent="0.35">
      <c r="K35" s="3" t="s">
        <v>6</v>
      </c>
      <c r="L35" t="s">
        <v>87</v>
      </c>
    </row>
    <row r="36" spans="11:12" x14ac:dyDescent="0.35">
      <c r="K36" t="s">
        <v>75</v>
      </c>
      <c r="L36" s="2">
        <v>33570</v>
      </c>
    </row>
    <row r="37" spans="11:12" x14ac:dyDescent="0.35">
      <c r="K37" t="s">
        <v>77</v>
      </c>
      <c r="L37" s="2">
        <v>33000</v>
      </c>
    </row>
    <row r="38" spans="11:12" x14ac:dyDescent="0.35">
      <c r="K38" t="s">
        <v>74</v>
      </c>
      <c r="L38" s="2">
        <v>37100</v>
      </c>
    </row>
    <row r="39" spans="11:12" x14ac:dyDescent="0.35">
      <c r="K39" t="s">
        <v>76</v>
      </c>
      <c r="L39" s="2">
        <v>23250</v>
      </c>
    </row>
    <row r="40" spans="11:12" x14ac:dyDescent="0.35">
      <c r="K40" t="s">
        <v>86</v>
      </c>
      <c r="L40" s="2">
        <v>126920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2424-458A-4D34-ABF8-5C3FF6ADD04C}">
  <dimension ref="A1:N31"/>
  <sheetViews>
    <sheetView workbookViewId="0">
      <selection activeCell="K25" sqref="K25"/>
    </sheetView>
  </sheetViews>
  <sheetFormatPr defaultRowHeight="14.5" x14ac:dyDescent="0.35"/>
  <cols>
    <col min="1" max="1" width="13.08984375" bestFit="1" customWidth="1"/>
    <col min="2" max="2" width="10.08984375" bestFit="1" customWidth="1"/>
    <col min="3" max="3" width="12" bestFit="1" customWidth="1"/>
    <col min="4" max="4" width="13.26953125" bestFit="1" customWidth="1"/>
    <col min="5" max="5" width="13" bestFit="1" customWidth="1"/>
    <col min="6" max="6" width="14.08984375" bestFit="1" customWidth="1"/>
    <col min="7" max="7" width="15.36328125" bestFit="1" customWidth="1"/>
    <col min="8" max="8" width="11.26953125" bestFit="1" customWidth="1"/>
    <col min="9" max="9" width="12.08984375" bestFit="1" customWidth="1"/>
    <col min="11" max="11" width="15.90625" bestFit="1" customWidth="1"/>
    <col min="12" max="12" width="13.08984375" bestFit="1" customWidth="1"/>
    <col min="13" max="13" width="7.90625" bestFit="1" customWidth="1"/>
    <col min="14" max="14" width="7.7265625" bestFit="1" customWidth="1"/>
    <col min="15" max="15" width="10.7265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</v>
      </c>
      <c r="G1" s="1" t="s">
        <v>5</v>
      </c>
      <c r="H1" s="1" t="s">
        <v>6</v>
      </c>
      <c r="I1" s="1" t="s">
        <v>7</v>
      </c>
    </row>
    <row r="2" spans="1:14" x14ac:dyDescent="0.35">
      <c r="A2" t="s">
        <v>8</v>
      </c>
      <c r="B2" t="s">
        <v>38</v>
      </c>
      <c r="C2" t="s">
        <v>68</v>
      </c>
      <c r="D2">
        <v>12</v>
      </c>
      <c r="E2">
        <v>800</v>
      </c>
      <c r="F2" s="2">
        <f>(Table13[[#This Row],[UnitsSold]]*Table13[[#This Row],[UnitPrice]])</f>
        <v>9600</v>
      </c>
      <c r="G2" t="s">
        <v>82</v>
      </c>
      <c r="H2" t="s">
        <v>74</v>
      </c>
      <c r="I2" t="s">
        <v>78</v>
      </c>
    </row>
    <row r="3" spans="1:14" x14ac:dyDescent="0.35">
      <c r="A3" t="s">
        <v>9</v>
      </c>
      <c r="B3" t="s">
        <v>39</v>
      </c>
      <c r="C3" t="s">
        <v>69</v>
      </c>
      <c r="D3">
        <v>18</v>
      </c>
      <c r="E3">
        <v>50</v>
      </c>
      <c r="F3" s="2">
        <f>(Table13[[#This Row],[UnitsSold]]*Table13[[#This Row],[UnitPrice]])</f>
        <v>900</v>
      </c>
      <c r="G3" t="s">
        <v>83</v>
      </c>
      <c r="H3" t="s">
        <v>74</v>
      </c>
      <c r="I3" t="s">
        <v>78</v>
      </c>
      <c r="K3" s="3" t="s">
        <v>87</v>
      </c>
      <c r="L3" s="3" t="s">
        <v>5</v>
      </c>
    </row>
    <row r="4" spans="1:14" x14ac:dyDescent="0.35">
      <c r="A4" t="s">
        <v>10</v>
      </c>
      <c r="B4" t="s">
        <v>40</v>
      </c>
      <c r="C4" t="s">
        <v>68</v>
      </c>
      <c r="D4">
        <v>12</v>
      </c>
      <c r="E4">
        <v>800</v>
      </c>
      <c r="F4" s="2">
        <f>(Table13[[#This Row],[UnitsSold]]*Table13[[#This Row],[UnitPrice]])</f>
        <v>9600</v>
      </c>
      <c r="G4" t="s">
        <v>84</v>
      </c>
      <c r="H4" t="s">
        <v>74</v>
      </c>
      <c r="I4" t="s">
        <v>78</v>
      </c>
      <c r="K4" s="3" t="s">
        <v>2</v>
      </c>
      <c r="L4" t="s">
        <v>84</v>
      </c>
      <c r="M4" t="s">
        <v>82</v>
      </c>
      <c r="N4" t="s">
        <v>83</v>
      </c>
    </row>
    <row r="5" spans="1:14" x14ac:dyDescent="0.35">
      <c r="A5" t="s">
        <v>11</v>
      </c>
      <c r="B5" t="s">
        <v>41</v>
      </c>
      <c r="C5" t="s">
        <v>70</v>
      </c>
      <c r="D5">
        <v>18</v>
      </c>
      <c r="E5">
        <v>300</v>
      </c>
      <c r="F5" s="2">
        <f>(Table13[[#This Row],[UnitsSold]]*Table13[[#This Row],[UnitPrice]])</f>
        <v>5400</v>
      </c>
      <c r="G5" t="s">
        <v>84</v>
      </c>
      <c r="H5" t="s">
        <v>74</v>
      </c>
      <c r="I5" t="s">
        <v>78</v>
      </c>
      <c r="K5" t="s">
        <v>69</v>
      </c>
      <c r="L5" s="4">
        <v>2200</v>
      </c>
      <c r="M5" s="4">
        <v>1000</v>
      </c>
      <c r="N5" s="4">
        <v>1900</v>
      </c>
    </row>
    <row r="6" spans="1:14" x14ac:dyDescent="0.35">
      <c r="A6" t="s">
        <v>12</v>
      </c>
      <c r="B6" t="s">
        <v>42</v>
      </c>
      <c r="C6" t="s">
        <v>71</v>
      </c>
      <c r="D6">
        <v>10</v>
      </c>
      <c r="E6">
        <v>30</v>
      </c>
      <c r="F6" s="2">
        <f>(Table13[[#This Row],[UnitsSold]]*Table13[[#This Row],[UnitPrice]])</f>
        <v>300</v>
      </c>
      <c r="G6" t="s">
        <v>83</v>
      </c>
      <c r="H6" t="s">
        <v>75</v>
      </c>
      <c r="I6" t="s">
        <v>79</v>
      </c>
      <c r="K6" t="s">
        <v>71</v>
      </c>
      <c r="L6" s="4">
        <v>0</v>
      </c>
      <c r="M6" s="4">
        <v>570</v>
      </c>
      <c r="N6" s="4">
        <v>300</v>
      </c>
    </row>
    <row r="7" spans="1:14" x14ac:dyDescent="0.35">
      <c r="A7" t="s">
        <v>13</v>
      </c>
      <c r="B7" t="s">
        <v>43</v>
      </c>
      <c r="C7" t="s">
        <v>71</v>
      </c>
      <c r="D7">
        <v>9</v>
      </c>
      <c r="E7">
        <v>30</v>
      </c>
      <c r="F7" s="2">
        <f>(Table13[[#This Row],[UnitsSold]]*Table13[[#This Row],[UnitPrice]])</f>
        <v>270</v>
      </c>
      <c r="G7" t="s">
        <v>82</v>
      </c>
      <c r="H7" t="s">
        <v>75</v>
      </c>
      <c r="I7" t="s">
        <v>79</v>
      </c>
      <c r="K7" t="s">
        <v>68</v>
      </c>
      <c r="L7" s="4">
        <v>35200</v>
      </c>
      <c r="M7" s="4">
        <v>34400</v>
      </c>
      <c r="N7" s="4">
        <v>21600</v>
      </c>
    </row>
    <row r="8" spans="1:14" x14ac:dyDescent="0.35">
      <c r="A8" t="s">
        <v>14</v>
      </c>
      <c r="B8" t="s">
        <v>44</v>
      </c>
      <c r="C8" t="s">
        <v>72</v>
      </c>
      <c r="D8">
        <v>17</v>
      </c>
      <c r="E8">
        <v>150</v>
      </c>
      <c r="F8" s="2">
        <f>(Table13[[#This Row],[UnitsSold]]*Table13[[#This Row],[UnitPrice]])</f>
        <v>2550</v>
      </c>
      <c r="G8" t="s">
        <v>83</v>
      </c>
      <c r="H8" t="s">
        <v>74</v>
      </c>
      <c r="I8" t="s">
        <v>78</v>
      </c>
      <c r="K8" t="s">
        <v>72</v>
      </c>
      <c r="L8" s="4">
        <v>1050</v>
      </c>
      <c r="M8" s="4">
        <v>6900</v>
      </c>
      <c r="N8" s="4">
        <v>4500</v>
      </c>
    </row>
    <row r="9" spans="1:14" x14ac:dyDescent="0.35">
      <c r="A9" t="s">
        <v>15</v>
      </c>
      <c r="B9" t="s">
        <v>45</v>
      </c>
      <c r="C9" t="s">
        <v>72</v>
      </c>
      <c r="D9">
        <v>6</v>
      </c>
      <c r="E9">
        <v>150</v>
      </c>
      <c r="F9" s="2">
        <f>(Table13[[#This Row],[UnitsSold]]*Table13[[#This Row],[UnitPrice]])</f>
        <v>900</v>
      </c>
      <c r="G9" t="s">
        <v>82</v>
      </c>
      <c r="H9" t="s">
        <v>75</v>
      </c>
      <c r="I9" t="s">
        <v>79</v>
      </c>
      <c r="K9" t="s">
        <v>73</v>
      </c>
      <c r="L9" s="4">
        <v>3800</v>
      </c>
      <c r="M9" s="4">
        <v>1400</v>
      </c>
      <c r="N9" s="4">
        <v>4600</v>
      </c>
    </row>
    <row r="10" spans="1:14" x14ac:dyDescent="0.35">
      <c r="A10" t="s">
        <v>16</v>
      </c>
      <c r="B10" t="s">
        <v>46</v>
      </c>
      <c r="C10" t="s">
        <v>70</v>
      </c>
      <c r="D10">
        <v>7</v>
      </c>
      <c r="E10">
        <v>300</v>
      </c>
      <c r="F10" s="2">
        <f>(Table13[[#This Row],[UnitsSold]]*Table13[[#This Row],[UnitPrice]])</f>
        <v>2100</v>
      </c>
      <c r="G10" t="s">
        <v>84</v>
      </c>
      <c r="H10" t="s">
        <v>74</v>
      </c>
      <c r="I10" t="s">
        <v>78</v>
      </c>
      <c r="K10" t="s">
        <v>70</v>
      </c>
      <c r="L10" s="4">
        <v>7500</v>
      </c>
      <c r="M10" s="4">
        <v>0</v>
      </c>
      <c r="N10" s="4">
        <v>0</v>
      </c>
    </row>
    <row r="11" spans="1:14" x14ac:dyDescent="0.35">
      <c r="A11" t="s">
        <v>17</v>
      </c>
      <c r="B11" t="s">
        <v>47</v>
      </c>
      <c r="C11" t="s">
        <v>72</v>
      </c>
      <c r="D11">
        <v>7</v>
      </c>
      <c r="E11">
        <v>150</v>
      </c>
      <c r="F11" s="2">
        <f>(Table13[[#This Row],[UnitsSold]]*Table13[[#This Row],[UnitPrice]])</f>
        <v>1050</v>
      </c>
      <c r="G11" t="s">
        <v>84</v>
      </c>
      <c r="H11" t="s">
        <v>75</v>
      </c>
      <c r="I11" t="s">
        <v>79</v>
      </c>
    </row>
    <row r="12" spans="1:14" x14ac:dyDescent="0.35">
      <c r="A12" t="s">
        <v>18</v>
      </c>
      <c r="B12" t="s">
        <v>48</v>
      </c>
      <c r="C12" t="s">
        <v>73</v>
      </c>
      <c r="D12">
        <v>7</v>
      </c>
      <c r="E12">
        <v>200</v>
      </c>
      <c r="F12" s="2">
        <f>(Table13[[#This Row],[UnitsSold]]*Table13[[#This Row],[UnitPrice]])</f>
        <v>1400</v>
      </c>
      <c r="G12" t="s">
        <v>82</v>
      </c>
      <c r="H12" t="s">
        <v>76</v>
      </c>
      <c r="I12" t="s">
        <v>80</v>
      </c>
    </row>
    <row r="13" spans="1:14" x14ac:dyDescent="0.35">
      <c r="A13" t="s">
        <v>19</v>
      </c>
      <c r="B13" t="s">
        <v>49</v>
      </c>
      <c r="C13" t="s">
        <v>68</v>
      </c>
      <c r="D13">
        <v>19</v>
      </c>
      <c r="E13">
        <v>800</v>
      </c>
      <c r="F13" s="2">
        <f>(Table13[[#This Row],[UnitsSold]]*Table13[[#This Row],[UnitPrice]])</f>
        <v>15200</v>
      </c>
      <c r="G13" t="s">
        <v>82</v>
      </c>
      <c r="H13" t="s">
        <v>77</v>
      </c>
      <c r="I13" t="s">
        <v>81</v>
      </c>
    </row>
    <row r="14" spans="1:14" x14ac:dyDescent="0.35">
      <c r="A14" t="s">
        <v>20</v>
      </c>
      <c r="B14" t="s">
        <v>50</v>
      </c>
      <c r="C14" t="s">
        <v>72</v>
      </c>
      <c r="D14">
        <v>16</v>
      </c>
      <c r="E14">
        <v>150</v>
      </c>
      <c r="F14" s="2">
        <f>(Table13[[#This Row],[UnitsSold]]*Table13[[#This Row],[UnitPrice]])</f>
        <v>2400</v>
      </c>
      <c r="G14" t="s">
        <v>82</v>
      </c>
      <c r="H14" t="s">
        <v>76</v>
      </c>
      <c r="I14" t="s">
        <v>80</v>
      </c>
    </row>
    <row r="15" spans="1:14" x14ac:dyDescent="0.35">
      <c r="A15" t="s">
        <v>21</v>
      </c>
      <c r="B15" t="s">
        <v>51</v>
      </c>
      <c r="C15" t="s">
        <v>73</v>
      </c>
      <c r="D15">
        <v>10</v>
      </c>
      <c r="E15">
        <v>200</v>
      </c>
      <c r="F15" s="2">
        <f>(Table13[[#This Row],[UnitsSold]]*Table13[[#This Row],[UnitPrice]])</f>
        <v>2000</v>
      </c>
      <c r="G15" t="s">
        <v>83</v>
      </c>
      <c r="H15" t="s">
        <v>75</v>
      </c>
      <c r="I15" t="s">
        <v>79</v>
      </c>
    </row>
    <row r="16" spans="1:14" x14ac:dyDescent="0.35">
      <c r="A16" t="s">
        <v>22</v>
      </c>
      <c r="B16" t="s">
        <v>52</v>
      </c>
      <c r="C16" t="s">
        <v>73</v>
      </c>
      <c r="D16">
        <v>19</v>
      </c>
      <c r="E16">
        <v>200</v>
      </c>
      <c r="F16" s="2">
        <f>(Table13[[#This Row],[UnitsSold]]*Table13[[#This Row],[UnitPrice]])</f>
        <v>3800</v>
      </c>
      <c r="G16" t="s">
        <v>84</v>
      </c>
      <c r="H16" t="s">
        <v>76</v>
      </c>
      <c r="I16" t="s">
        <v>80</v>
      </c>
    </row>
    <row r="17" spans="1:9" x14ac:dyDescent="0.35">
      <c r="A17" t="s">
        <v>23</v>
      </c>
      <c r="B17" t="s">
        <v>53</v>
      </c>
      <c r="C17" t="s">
        <v>72</v>
      </c>
      <c r="D17">
        <v>6</v>
      </c>
      <c r="E17">
        <v>150</v>
      </c>
      <c r="F17" s="2">
        <f>(Table13[[#This Row],[UnitsSold]]*Table13[[#This Row],[UnitPrice]])</f>
        <v>900</v>
      </c>
      <c r="G17" t="s">
        <v>82</v>
      </c>
      <c r="H17" t="s">
        <v>76</v>
      </c>
      <c r="I17" t="s">
        <v>80</v>
      </c>
    </row>
    <row r="18" spans="1:9" x14ac:dyDescent="0.35">
      <c r="A18" t="s">
        <v>24</v>
      </c>
      <c r="B18" t="s">
        <v>54</v>
      </c>
      <c r="C18" t="s">
        <v>68</v>
      </c>
      <c r="D18">
        <v>13</v>
      </c>
      <c r="E18">
        <v>800</v>
      </c>
      <c r="F18" s="2">
        <f>(Table13[[#This Row],[UnitsSold]]*Table13[[#This Row],[UnitPrice]])</f>
        <v>10400</v>
      </c>
      <c r="G18" t="s">
        <v>84</v>
      </c>
      <c r="H18" t="s">
        <v>75</v>
      </c>
      <c r="I18" t="s">
        <v>79</v>
      </c>
    </row>
    <row r="19" spans="1:9" x14ac:dyDescent="0.35">
      <c r="A19" t="s">
        <v>25</v>
      </c>
      <c r="B19" t="s">
        <v>55</v>
      </c>
      <c r="C19" t="s">
        <v>69</v>
      </c>
      <c r="D19">
        <v>20</v>
      </c>
      <c r="E19">
        <v>50</v>
      </c>
      <c r="F19" s="2">
        <f>(Table13[[#This Row],[UnitsSold]]*Table13[[#This Row],[UnitPrice]])</f>
        <v>1000</v>
      </c>
      <c r="G19" t="s">
        <v>83</v>
      </c>
      <c r="H19" t="s">
        <v>75</v>
      </c>
      <c r="I19" t="s">
        <v>79</v>
      </c>
    </row>
    <row r="20" spans="1:9" x14ac:dyDescent="0.35">
      <c r="A20" t="s">
        <v>26</v>
      </c>
      <c r="B20" t="s">
        <v>56</v>
      </c>
      <c r="C20" t="s">
        <v>73</v>
      </c>
      <c r="D20">
        <v>13</v>
      </c>
      <c r="E20">
        <v>200</v>
      </c>
      <c r="F20" s="2">
        <f>(Table13[[#This Row],[UnitsSold]]*Table13[[#This Row],[UnitPrice]])</f>
        <v>2600</v>
      </c>
      <c r="G20" t="s">
        <v>83</v>
      </c>
      <c r="H20" t="s">
        <v>77</v>
      </c>
      <c r="I20" t="s">
        <v>81</v>
      </c>
    </row>
    <row r="21" spans="1:9" x14ac:dyDescent="0.35">
      <c r="A21" t="s">
        <v>27</v>
      </c>
      <c r="B21" t="s">
        <v>57</v>
      </c>
      <c r="C21" t="s">
        <v>69</v>
      </c>
      <c r="D21">
        <v>17</v>
      </c>
      <c r="E21">
        <v>50</v>
      </c>
      <c r="F21" s="2">
        <f>(Table13[[#This Row],[UnitsSold]]*Table13[[#This Row],[UnitPrice]])</f>
        <v>850</v>
      </c>
      <c r="G21" t="s">
        <v>84</v>
      </c>
      <c r="H21" t="s">
        <v>75</v>
      </c>
      <c r="I21" t="s">
        <v>79</v>
      </c>
    </row>
    <row r="22" spans="1:9" x14ac:dyDescent="0.35">
      <c r="A22" t="s">
        <v>28</v>
      </c>
      <c r="B22" t="s">
        <v>58</v>
      </c>
      <c r="C22" t="s">
        <v>69</v>
      </c>
      <c r="D22">
        <v>7</v>
      </c>
      <c r="E22">
        <v>50</v>
      </c>
      <c r="F22" s="2">
        <f>(Table13[[#This Row],[UnitsSold]]*Table13[[#This Row],[UnitPrice]])</f>
        <v>350</v>
      </c>
      <c r="G22" t="s">
        <v>84</v>
      </c>
      <c r="H22" t="s">
        <v>76</v>
      </c>
      <c r="I22" t="s">
        <v>80</v>
      </c>
    </row>
    <row r="23" spans="1:9" x14ac:dyDescent="0.35">
      <c r="A23" t="s">
        <v>29</v>
      </c>
      <c r="B23" t="s">
        <v>59</v>
      </c>
      <c r="C23" t="s">
        <v>68</v>
      </c>
      <c r="D23">
        <v>18</v>
      </c>
      <c r="E23">
        <v>800</v>
      </c>
      <c r="F23" s="2">
        <f>(Table13[[#This Row],[UnitsSold]]*Table13[[#This Row],[UnitPrice]])</f>
        <v>14400</v>
      </c>
      <c r="G23" t="s">
        <v>83</v>
      </c>
      <c r="H23" t="s">
        <v>76</v>
      </c>
      <c r="I23" t="s">
        <v>80</v>
      </c>
    </row>
    <row r="24" spans="1:9" x14ac:dyDescent="0.35">
      <c r="A24" t="s">
        <v>30</v>
      </c>
      <c r="B24" t="s">
        <v>60</v>
      </c>
      <c r="C24" t="s">
        <v>68</v>
      </c>
      <c r="D24">
        <v>19</v>
      </c>
      <c r="E24">
        <v>800</v>
      </c>
      <c r="F24" s="2">
        <f>(Table13[[#This Row],[UnitsSold]]*Table13[[#This Row],[UnitPrice]])</f>
        <v>15200</v>
      </c>
      <c r="G24" t="s">
        <v>84</v>
      </c>
      <c r="H24" t="s">
        <v>77</v>
      </c>
      <c r="I24" t="s">
        <v>81</v>
      </c>
    </row>
    <row r="25" spans="1:9" x14ac:dyDescent="0.35">
      <c r="A25" t="s">
        <v>31</v>
      </c>
      <c r="B25" t="s">
        <v>61</v>
      </c>
      <c r="C25" t="s">
        <v>72</v>
      </c>
      <c r="D25">
        <v>13</v>
      </c>
      <c r="E25">
        <v>150</v>
      </c>
      <c r="F25" s="2">
        <f>(Table13[[#This Row],[UnitsSold]]*Table13[[#This Row],[UnitPrice]])</f>
        <v>1950</v>
      </c>
      <c r="G25" t="s">
        <v>83</v>
      </c>
      <c r="H25" t="s">
        <v>74</v>
      </c>
      <c r="I25" t="s">
        <v>78</v>
      </c>
    </row>
    <row r="26" spans="1:9" x14ac:dyDescent="0.35">
      <c r="A26" t="s">
        <v>32</v>
      </c>
      <c r="B26" t="s">
        <v>62</v>
      </c>
      <c r="C26" t="s">
        <v>72</v>
      </c>
      <c r="D26">
        <v>18</v>
      </c>
      <c r="E26">
        <v>150</v>
      </c>
      <c r="F26" s="2">
        <f>(Table13[[#This Row],[UnitsSold]]*Table13[[#This Row],[UnitPrice]])</f>
        <v>2700</v>
      </c>
      <c r="G26" t="s">
        <v>82</v>
      </c>
      <c r="H26" t="s">
        <v>74</v>
      </c>
      <c r="I26" t="s">
        <v>78</v>
      </c>
    </row>
    <row r="27" spans="1:9" x14ac:dyDescent="0.35">
      <c r="A27" t="s">
        <v>33</v>
      </c>
      <c r="B27" t="s">
        <v>63</v>
      </c>
      <c r="C27" t="s">
        <v>71</v>
      </c>
      <c r="D27">
        <v>10</v>
      </c>
      <c r="E27">
        <v>30</v>
      </c>
      <c r="F27" s="2">
        <f>(Table13[[#This Row],[UnitsSold]]*Table13[[#This Row],[UnitPrice]])</f>
        <v>300</v>
      </c>
      <c r="G27" t="s">
        <v>82</v>
      </c>
      <c r="H27" t="s">
        <v>74</v>
      </c>
      <c r="I27" t="s">
        <v>78</v>
      </c>
    </row>
    <row r="28" spans="1:9" x14ac:dyDescent="0.35">
      <c r="A28" t="s">
        <v>34</v>
      </c>
      <c r="B28" t="s">
        <v>64</v>
      </c>
      <c r="C28" t="s">
        <v>68</v>
      </c>
      <c r="D28">
        <v>9</v>
      </c>
      <c r="E28">
        <v>800</v>
      </c>
      <c r="F28" s="2">
        <f>(Table13[[#This Row],[UnitsSold]]*Table13[[#This Row],[UnitPrice]])</f>
        <v>7200</v>
      </c>
      <c r="G28" t="s">
        <v>83</v>
      </c>
      <c r="H28" t="s">
        <v>75</v>
      </c>
      <c r="I28" t="s">
        <v>79</v>
      </c>
    </row>
    <row r="29" spans="1:9" x14ac:dyDescent="0.35">
      <c r="A29" t="s">
        <v>35</v>
      </c>
      <c r="B29" t="s">
        <v>65</v>
      </c>
      <c r="C29" t="s">
        <v>69</v>
      </c>
      <c r="D29">
        <v>20</v>
      </c>
      <c r="E29">
        <v>50</v>
      </c>
      <c r="F29" s="2">
        <f>(Table13[[#This Row],[UnitsSold]]*Table13[[#This Row],[UnitPrice]])</f>
        <v>1000</v>
      </c>
      <c r="G29" t="s">
        <v>82</v>
      </c>
      <c r="H29" t="s">
        <v>74</v>
      </c>
      <c r="I29" t="s">
        <v>78</v>
      </c>
    </row>
    <row r="30" spans="1:9" x14ac:dyDescent="0.35">
      <c r="A30" t="s">
        <v>36</v>
      </c>
      <c r="B30" t="s">
        <v>66</v>
      </c>
      <c r="C30" t="s">
        <v>68</v>
      </c>
      <c r="D30">
        <v>12</v>
      </c>
      <c r="E30">
        <v>800</v>
      </c>
      <c r="F30" s="2">
        <f>(Table13[[#This Row],[UnitsSold]]*Table13[[#This Row],[UnitPrice]])</f>
        <v>9600</v>
      </c>
      <c r="G30" t="s">
        <v>82</v>
      </c>
      <c r="H30" t="s">
        <v>75</v>
      </c>
      <c r="I30" t="s">
        <v>79</v>
      </c>
    </row>
    <row r="31" spans="1:9" x14ac:dyDescent="0.35">
      <c r="A31" t="s">
        <v>37</v>
      </c>
      <c r="B31" t="s">
        <v>67</v>
      </c>
      <c r="C31" t="s">
        <v>69</v>
      </c>
      <c r="D31">
        <v>20</v>
      </c>
      <c r="E31">
        <v>50</v>
      </c>
      <c r="F31" s="2">
        <f>(Table13[[#This Row],[UnitsSold]]*Table13[[#This Row],[UnitPrice]])</f>
        <v>1000</v>
      </c>
      <c r="G31" t="s">
        <v>84</v>
      </c>
      <c r="H31" t="s">
        <v>74</v>
      </c>
      <c r="I31" t="s">
        <v>78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3EB1-B521-4873-BE75-2FD620A21868}">
  <dimension ref="A1:L31"/>
  <sheetViews>
    <sheetView topLeftCell="A25" workbookViewId="0">
      <selection activeCell="L25" sqref="L25"/>
    </sheetView>
  </sheetViews>
  <sheetFormatPr defaultRowHeight="14.5" x14ac:dyDescent="0.35"/>
  <cols>
    <col min="1" max="1" width="13.08984375" bestFit="1" customWidth="1"/>
    <col min="2" max="2" width="10.08984375" bestFit="1" customWidth="1"/>
    <col min="3" max="3" width="12" bestFit="1" customWidth="1"/>
    <col min="4" max="4" width="13.26953125" bestFit="1" customWidth="1"/>
    <col min="5" max="5" width="13" bestFit="1" customWidth="1"/>
    <col min="6" max="6" width="14.08984375" bestFit="1" customWidth="1"/>
    <col min="7" max="7" width="15.36328125" bestFit="1" customWidth="1"/>
    <col min="8" max="8" width="11.26953125" bestFit="1" customWidth="1"/>
    <col min="9" max="9" width="12.08984375" bestFit="1" customWidth="1"/>
    <col min="11" max="11" width="11.453125" bestFit="1" customWidth="1"/>
    <col min="12" max="12" width="17.089843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</v>
      </c>
      <c r="G1" s="1" t="s">
        <v>5</v>
      </c>
      <c r="H1" s="1" t="s">
        <v>6</v>
      </c>
      <c r="I1" s="1" t="s">
        <v>7</v>
      </c>
    </row>
    <row r="2" spans="1:12" x14ac:dyDescent="0.35">
      <c r="A2" t="s">
        <v>8</v>
      </c>
      <c r="B2" t="s">
        <v>38</v>
      </c>
      <c r="C2" t="s">
        <v>68</v>
      </c>
      <c r="D2">
        <v>12</v>
      </c>
      <c r="E2">
        <v>800</v>
      </c>
      <c r="F2" s="2">
        <f>(Table14[[#This Row],[UnitsSold]]*Table14[[#This Row],[UnitPrice]])</f>
        <v>9600</v>
      </c>
      <c r="G2" t="s">
        <v>82</v>
      </c>
      <c r="H2" t="s">
        <v>74</v>
      </c>
      <c r="I2" t="s">
        <v>78</v>
      </c>
    </row>
    <row r="3" spans="1:12" x14ac:dyDescent="0.35">
      <c r="A3" t="s">
        <v>9</v>
      </c>
      <c r="B3" t="s">
        <v>39</v>
      </c>
      <c r="C3" t="s">
        <v>69</v>
      </c>
      <c r="D3">
        <v>18</v>
      </c>
      <c r="E3">
        <v>50</v>
      </c>
      <c r="F3" s="2">
        <f>(Table14[[#This Row],[UnitsSold]]*Table14[[#This Row],[UnitPrice]])</f>
        <v>900</v>
      </c>
      <c r="G3" t="s">
        <v>83</v>
      </c>
      <c r="H3" t="s">
        <v>74</v>
      </c>
      <c r="I3" t="s">
        <v>78</v>
      </c>
      <c r="K3" s="5" t="s">
        <v>2</v>
      </c>
      <c r="L3" s="6" t="s">
        <v>87</v>
      </c>
    </row>
    <row r="4" spans="1:12" x14ac:dyDescent="0.35">
      <c r="A4" t="s">
        <v>10</v>
      </c>
      <c r="B4" t="s">
        <v>40</v>
      </c>
      <c r="C4" t="s">
        <v>68</v>
      </c>
      <c r="D4">
        <v>12</v>
      </c>
      <c r="E4">
        <v>800</v>
      </c>
      <c r="F4" s="2">
        <f>(Table14[[#This Row],[UnitsSold]]*Table14[[#This Row],[UnitPrice]])</f>
        <v>9600</v>
      </c>
      <c r="G4" t="s">
        <v>84</v>
      </c>
      <c r="H4" t="s">
        <v>74</v>
      </c>
      <c r="I4" t="s">
        <v>78</v>
      </c>
      <c r="K4" s="6" t="s">
        <v>71</v>
      </c>
      <c r="L4" s="7">
        <v>870</v>
      </c>
    </row>
    <row r="5" spans="1:12" x14ac:dyDescent="0.35">
      <c r="A5" t="s">
        <v>11</v>
      </c>
      <c r="B5" t="s">
        <v>41</v>
      </c>
      <c r="C5" t="s">
        <v>70</v>
      </c>
      <c r="D5">
        <v>18</v>
      </c>
      <c r="E5">
        <v>300</v>
      </c>
      <c r="F5" s="2">
        <f>(Table14[[#This Row],[UnitsSold]]*Table14[[#This Row],[UnitPrice]])</f>
        <v>5400</v>
      </c>
      <c r="G5" t="s">
        <v>84</v>
      </c>
      <c r="H5" t="s">
        <v>74</v>
      </c>
      <c r="I5" t="s">
        <v>78</v>
      </c>
      <c r="K5" s="6" t="s">
        <v>69</v>
      </c>
      <c r="L5" s="7">
        <v>5100</v>
      </c>
    </row>
    <row r="6" spans="1:12" x14ac:dyDescent="0.35">
      <c r="A6" t="s">
        <v>12</v>
      </c>
      <c r="B6" t="s">
        <v>42</v>
      </c>
      <c r="C6" t="s">
        <v>71</v>
      </c>
      <c r="D6">
        <v>10</v>
      </c>
      <c r="E6">
        <v>30</v>
      </c>
      <c r="F6" s="2">
        <f>(Table14[[#This Row],[UnitsSold]]*Table14[[#This Row],[UnitPrice]])</f>
        <v>300</v>
      </c>
      <c r="G6" t="s">
        <v>83</v>
      </c>
      <c r="H6" t="s">
        <v>75</v>
      </c>
      <c r="I6" t="s">
        <v>79</v>
      </c>
      <c r="K6" s="6" t="s">
        <v>70</v>
      </c>
      <c r="L6" s="7">
        <v>7500</v>
      </c>
    </row>
    <row r="7" spans="1:12" x14ac:dyDescent="0.35">
      <c r="A7" t="s">
        <v>13</v>
      </c>
      <c r="B7" t="s">
        <v>43</v>
      </c>
      <c r="C7" t="s">
        <v>71</v>
      </c>
      <c r="D7">
        <v>9</v>
      </c>
      <c r="E7">
        <v>30</v>
      </c>
      <c r="F7" s="2">
        <f>(Table14[[#This Row],[UnitsSold]]*Table14[[#This Row],[UnitPrice]])</f>
        <v>270</v>
      </c>
      <c r="G7" t="s">
        <v>82</v>
      </c>
      <c r="H7" t="s">
        <v>75</v>
      </c>
      <c r="I7" t="s">
        <v>79</v>
      </c>
      <c r="K7" s="6" t="s">
        <v>73</v>
      </c>
      <c r="L7" s="7">
        <v>9800</v>
      </c>
    </row>
    <row r="8" spans="1:12" x14ac:dyDescent="0.35">
      <c r="A8" t="s">
        <v>14</v>
      </c>
      <c r="B8" t="s">
        <v>44</v>
      </c>
      <c r="C8" t="s">
        <v>72</v>
      </c>
      <c r="D8">
        <v>17</v>
      </c>
      <c r="E8">
        <v>150</v>
      </c>
      <c r="F8" s="2">
        <f>(Table14[[#This Row],[UnitsSold]]*Table14[[#This Row],[UnitPrice]])</f>
        <v>2550</v>
      </c>
      <c r="G8" t="s">
        <v>83</v>
      </c>
      <c r="H8" t="s">
        <v>74</v>
      </c>
      <c r="I8" t="s">
        <v>78</v>
      </c>
      <c r="K8" s="6" t="s">
        <v>72</v>
      </c>
      <c r="L8" s="7">
        <v>12450</v>
      </c>
    </row>
    <row r="9" spans="1:12" x14ac:dyDescent="0.35">
      <c r="A9" t="s">
        <v>15</v>
      </c>
      <c r="B9" t="s">
        <v>45</v>
      </c>
      <c r="C9" t="s">
        <v>72</v>
      </c>
      <c r="D9">
        <v>6</v>
      </c>
      <c r="E9">
        <v>150</v>
      </c>
      <c r="F9" s="2">
        <f>(Table14[[#This Row],[UnitsSold]]*Table14[[#This Row],[UnitPrice]])</f>
        <v>900</v>
      </c>
      <c r="G9" t="s">
        <v>82</v>
      </c>
      <c r="H9" t="s">
        <v>75</v>
      </c>
      <c r="I9" t="s">
        <v>79</v>
      </c>
      <c r="K9" s="6" t="s">
        <v>68</v>
      </c>
      <c r="L9" s="7">
        <v>91200</v>
      </c>
    </row>
    <row r="10" spans="1:12" x14ac:dyDescent="0.35">
      <c r="A10" t="s">
        <v>16</v>
      </c>
      <c r="B10" t="s">
        <v>46</v>
      </c>
      <c r="C10" t="s">
        <v>70</v>
      </c>
      <c r="D10">
        <v>7</v>
      </c>
      <c r="E10">
        <v>300</v>
      </c>
      <c r="F10" s="2">
        <f>(Table14[[#This Row],[UnitsSold]]*Table14[[#This Row],[UnitPrice]])</f>
        <v>2100</v>
      </c>
      <c r="G10" t="s">
        <v>84</v>
      </c>
      <c r="H10" t="s">
        <v>74</v>
      </c>
      <c r="I10" t="s">
        <v>78</v>
      </c>
      <c r="K10" s="6" t="s">
        <v>86</v>
      </c>
      <c r="L10" s="7">
        <v>126920</v>
      </c>
    </row>
    <row r="11" spans="1:12" x14ac:dyDescent="0.35">
      <c r="A11" t="s">
        <v>17</v>
      </c>
      <c r="B11" t="s">
        <v>47</v>
      </c>
      <c r="C11" t="s">
        <v>72</v>
      </c>
      <c r="D11">
        <v>7</v>
      </c>
      <c r="E11">
        <v>150</v>
      </c>
      <c r="F11" s="2">
        <f>(Table14[[#This Row],[UnitsSold]]*Table14[[#This Row],[UnitPrice]])</f>
        <v>1050</v>
      </c>
      <c r="G11" t="s">
        <v>84</v>
      </c>
      <c r="H11" t="s">
        <v>75</v>
      </c>
      <c r="I11" t="s">
        <v>79</v>
      </c>
    </row>
    <row r="12" spans="1:12" x14ac:dyDescent="0.35">
      <c r="A12" t="s">
        <v>18</v>
      </c>
      <c r="B12" t="s">
        <v>48</v>
      </c>
      <c r="C12" t="s">
        <v>73</v>
      </c>
      <c r="D12">
        <v>7</v>
      </c>
      <c r="E12">
        <v>200</v>
      </c>
      <c r="F12" s="2">
        <f>(Table14[[#This Row],[UnitsSold]]*Table14[[#This Row],[UnitPrice]])</f>
        <v>1400</v>
      </c>
      <c r="G12" t="s">
        <v>82</v>
      </c>
      <c r="H12" t="s">
        <v>76</v>
      </c>
      <c r="I12" t="s">
        <v>80</v>
      </c>
      <c r="K12" s="5" t="s">
        <v>2</v>
      </c>
      <c r="L12" s="6" t="s">
        <v>87</v>
      </c>
    </row>
    <row r="13" spans="1:12" x14ac:dyDescent="0.35">
      <c r="A13" t="s">
        <v>19</v>
      </c>
      <c r="B13" t="s">
        <v>49</v>
      </c>
      <c r="C13" t="s">
        <v>68</v>
      </c>
      <c r="D13">
        <v>19</v>
      </c>
      <c r="E13">
        <v>800</v>
      </c>
      <c r="F13" s="2">
        <f>(Table14[[#This Row],[UnitsSold]]*Table14[[#This Row],[UnitPrice]])</f>
        <v>15200</v>
      </c>
      <c r="G13" t="s">
        <v>82</v>
      </c>
      <c r="H13" t="s">
        <v>77</v>
      </c>
      <c r="I13" t="s">
        <v>81</v>
      </c>
      <c r="K13" s="6" t="s">
        <v>68</v>
      </c>
      <c r="L13" s="7">
        <v>91200</v>
      </c>
    </row>
    <row r="14" spans="1:12" x14ac:dyDescent="0.35">
      <c r="A14" t="s">
        <v>20</v>
      </c>
      <c r="B14" t="s">
        <v>50</v>
      </c>
      <c r="C14" t="s">
        <v>72</v>
      </c>
      <c r="D14">
        <v>16</v>
      </c>
      <c r="E14">
        <v>150</v>
      </c>
      <c r="F14" s="2">
        <f>(Table14[[#This Row],[UnitsSold]]*Table14[[#This Row],[UnitPrice]])</f>
        <v>2400</v>
      </c>
      <c r="G14" t="s">
        <v>82</v>
      </c>
      <c r="H14" t="s">
        <v>76</v>
      </c>
      <c r="I14" t="s">
        <v>80</v>
      </c>
      <c r="K14" s="6" t="s">
        <v>72</v>
      </c>
      <c r="L14" s="7">
        <v>12450</v>
      </c>
    </row>
    <row r="15" spans="1:12" x14ac:dyDescent="0.35">
      <c r="A15" t="s">
        <v>21</v>
      </c>
      <c r="B15" t="s">
        <v>51</v>
      </c>
      <c r="C15" t="s">
        <v>73</v>
      </c>
      <c r="D15">
        <v>10</v>
      </c>
      <c r="E15">
        <v>200</v>
      </c>
      <c r="F15" s="2">
        <f>(Table14[[#This Row],[UnitsSold]]*Table14[[#This Row],[UnitPrice]])</f>
        <v>2000</v>
      </c>
      <c r="G15" t="s">
        <v>83</v>
      </c>
      <c r="H15" t="s">
        <v>75</v>
      </c>
      <c r="I15" t="s">
        <v>79</v>
      </c>
      <c r="K15" s="6" t="s">
        <v>73</v>
      </c>
      <c r="L15" s="7">
        <v>9800</v>
      </c>
    </row>
    <row r="16" spans="1:12" x14ac:dyDescent="0.35">
      <c r="A16" t="s">
        <v>22</v>
      </c>
      <c r="B16" t="s">
        <v>52</v>
      </c>
      <c r="C16" t="s">
        <v>73</v>
      </c>
      <c r="D16">
        <v>19</v>
      </c>
      <c r="E16">
        <v>200</v>
      </c>
      <c r="F16" s="2">
        <f>(Table14[[#This Row],[UnitsSold]]*Table14[[#This Row],[UnitPrice]])</f>
        <v>3800</v>
      </c>
      <c r="G16" t="s">
        <v>84</v>
      </c>
      <c r="H16" t="s">
        <v>76</v>
      </c>
      <c r="I16" t="s">
        <v>80</v>
      </c>
      <c r="K16" s="6" t="s">
        <v>70</v>
      </c>
      <c r="L16" s="7">
        <v>7500</v>
      </c>
    </row>
    <row r="17" spans="1:12" x14ac:dyDescent="0.35">
      <c r="A17" t="s">
        <v>23</v>
      </c>
      <c r="B17" t="s">
        <v>53</v>
      </c>
      <c r="C17" t="s">
        <v>72</v>
      </c>
      <c r="D17">
        <v>6</v>
      </c>
      <c r="E17">
        <v>150</v>
      </c>
      <c r="F17" s="2">
        <f>(Table14[[#This Row],[UnitsSold]]*Table14[[#This Row],[UnitPrice]])</f>
        <v>900</v>
      </c>
      <c r="G17" t="s">
        <v>82</v>
      </c>
      <c r="H17" t="s">
        <v>76</v>
      </c>
      <c r="I17" t="s">
        <v>80</v>
      </c>
      <c r="K17" s="6" t="s">
        <v>69</v>
      </c>
      <c r="L17" s="7">
        <v>5100</v>
      </c>
    </row>
    <row r="18" spans="1:12" x14ac:dyDescent="0.35">
      <c r="A18" t="s">
        <v>24</v>
      </c>
      <c r="B18" t="s">
        <v>54</v>
      </c>
      <c r="C18" t="s">
        <v>68</v>
      </c>
      <c r="D18">
        <v>13</v>
      </c>
      <c r="E18">
        <v>800</v>
      </c>
      <c r="F18" s="2">
        <f>(Table14[[#This Row],[UnitsSold]]*Table14[[#This Row],[UnitPrice]])</f>
        <v>10400</v>
      </c>
      <c r="G18" t="s">
        <v>84</v>
      </c>
      <c r="H18" t="s">
        <v>75</v>
      </c>
      <c r="I18" t="s">
        <v>79</v>
      </c>
      <c r="K18" s="6" t="s">
        <v>71</v>
      </c>
      <c r="L18" s="7">
        <v>870</v>
      </c>
    </row>
    <row r="19" spans="1:12" x14ac:dyDescent="0.35">
      <c r="A19" t="s">
        <v>25</v>
      </c>
      <c r="B19" t="s">
        <v>55</v>
      </c>
      <c r="C19" t="s">
        <v>69</v>
      </c>
      <c r="D19">
        <v>20</v>
      </c>
      <c r="E19">
        <v>50</v>
      </c>
      <c r="F19" s="2">
        <f>(Table14[[#This Row],[UnitsSold]]*Table14[[#This Row],[UnitPrice]])</f>
        <v>1000</v>
      </c>
      <c r="G19" t="s">
        <v>83</v>
      </c>
      <c r="H19" t="s">
        <v>75</v>
      </c>
      <c r="I19" t="s">
        <v>79</v>
      </c>
      <c r="K19" s="6" t="s">
        <v>86</v>
      </c>
      <c r="L19" s="7">
        <v>126920</v>
      </c>
    </row>
    <row r="20" spans="1:12" x14ac:dyDescent="0.35">
      <c r="A20" t="s">
        <v>26</v>
      </c>
      <c r="B20" t="s">
        <v>56</v>
      </c>
      <c r="C20" t="s">
        <v>73</v>
      </c>
      <c r="D20">
        <v>13</v>
      </c>
      <c r="E20">
        <v>200</v>
      </c>
      <c r="F20" s="2">
        <f>(Table14[[#This Row],[UnitsSold]]*Table14[[#This Row],[UnitPrice]])</f>
        <v>2600</v>
      </c>
      <c r="G20" t="s">
        <v>83</v>
      </c>
      <c r="H20" t="s">
        <v>77</v>
      </c>
      <c r="I20" t="s">
        <v>81</v>
      </c>
    </row>
    <row r="21" spans="1:12" x14ac:dyDescent="0.35">
      <c r="A21" t="s">
        <v>27</v>
      </c>
      <c r="B21" t="s">
        <v>57</v>
      </c>
      <c r="C21" t="s">
        <v>69</v>
      </c>
      <c r="D21">
        <v>17</v>
      </c>
      <c r="E21">
        <v>50</v>
      </c>
      <c r="F21" s="2">
        <f>(Table14[[#This Row],[UnitsSold]]*Table14[[#This Row],[UnitPrice]])</f>
        <v>850</v>
      </c>
      <c r="G21" t="s">
        <v>84</v>
      </c>
      <c r="H21" t="s">
        <v>75</v>
      </c>
      <c r="I21" t="s">
        <v>79</v>
      </c>
    </row>
    <row r="22" spans="1:12" x14ac:dyDescent="0.35">
      <c r="A22" t="s">
        <v>28</v>
      </c>
      <c r="B22" t="s">
        <v>58</v>
      </c>
      <c r="C22" t="s">
        <v>69</v>
      </c>
      <c r="D22">
        <v>7</v>
      </c>
      <c r="E22">
        <v>50</v>
      </c>
      <c r="F22" s="2">
        <f>(Table14[[#This Row],[UnitsSold]]*Table14[[#This Row],[UnitPrice]])</f>
        <v>350</v>
      </c>
      <c r="G22" t="s">
        <v>84</v>
      </c>
      <c r="H22" t="s">
        <v>76</v>
      </c>
      <c r="I22" t="s">
        <v>80</v>
      </c>
    </row>
    <row r="23" spans="1:12" x14ac:dyDescent="0.35">
      <c r="A23" t="s">
        <v>29</v>
      </c>
      <c r="B23" t="s">
        <v>59</v>
      </c>
      <c r="C23" t="s">
        <v>68</v>
      </c>
      <c r="D23">
        <v>18</v>
      </c>
      <c r="E23">
        <v>800</v>
      </c>
      <c r="F23" s="2">
        <f>(Table14[[#This Row],[UnitsSold]]*Table14[[#This Row],[UnitPrice]])</f>
        <v>14400</v>
      </c>
      <c r="G23" t="s">
        <v>83</v>
      </c>
      <c r="H23" t="s">
        <v>76</v>
      </c>
      <c r="I23" t="s">
        <v>80</v>
      </c>
    </row>
    <row r="24" spans="1:12" x14ac:dyDescent="0.35">
      <c r="A24" t="s">
        <v>30</v>
      </c>
      <c r="B24" t="s">
        <v>60</v>
      </c>
      <c r="C24" t="s">
        <v>68</v>
      </c>
      <c r="D24">
        <v>19</v>
      </c>
      <c r="E24">
        <v>800</v>
      </c>
      <c r="F24" s="2">
        <f>(Table14[[#This Row],[UnitsSold]]*Table14[[#This Row],[UnitPrice]])</f>
        <v>15200</v>
      </c>
      <c r="G24" t="s">
        <v>84</v>
      </c>
      <c r="H24" t="s">
        <v>77</v>
      </c>
      <c r="I24" t="s">
        <v>81</v>
      </c>
    </row>
    <row r="25" spans="1:12" x14ac:dyDescent="0.35">
      <c r="A25" t="s">
        <v>31</v>
      </c>
      <c r="B25" t="s">
        <v>61</v>
      </c>
      <c r="C25" t="s">
        <v>72</v>
      </c>
      <c r="D25">
        <v>13</v>
      </c>
      <c r="E25">
        <v>150</v>
      </c>
      <c r="F25" s="2">
        <f>(Table14[[#This Row],[UnitsSold]]*Table14[[#This Row],[UnitPrice]])</f>
        <v>1950</v>
      </c>
      <c r="G25" t="s">
        <v>83</v>
      </c>
      <c r="H25" t="s">
        <v>74</v>
      </c>
      <c r="I25" t="s">
        <v>78</v>
      </c>
    </row>
    <row r="26" spans="1:12" x14ac:dyDescent="0.35">
      <c r="A26" t="s">
        <v>32</v>
      </c>
      <c r="B26" t="s">
        <v>62</v>
      </c>
      <c r="C26" t="s">
        <v>72</v>
      </c>
      <c r="D26">
        <v>18</v>
      </c>
      <c r="E26">
        <v>150</v>
      </c>
      <c r="F26" s="2">
        <f>(Table14[[#This Row],[UnitsSold]]*Table14[[#This Row],[UnitPrice]])</f>
        <v>2700</v>
      </c>
      <c r="G26" t="s">
        <v>82</v>
      </c>
      <c r="H26" t="s">
        <v>74</v>
      </c>
      <c r="I26" t="s">
        <v>78</v>
      </c>
    </row>
    <row r="27" spans="1:12" x14ac:dyDescent="0.35">
      <c r="A27" t="s">
        <v>33</v>
      </c>
      <c r="B27" t="s">
        <v>63</v>
      </c>
      <c r="C27" t="s">
        <v>71</v>
      </c>
      <c r="D27">
        <v>10</v>
      </c>
      <c r="E27">
        <v>30</v>
      </c>
      <c r="F27" s="2">
        <f>(Table14[[#This Row],[UnitsSold]]*Table14[[#This Row],[UnitPrice]])</f>
        <v>300</v>
      </c>
      <c r="G27" t="s">
        <v>82</v>
      </c>
      <c r="H27" t="s">
        <v>74</v>
      </c>
      <c r="I27" t="s">
        <v>78</v>
      </c>
    </row>
    <row r="28" spans="1:12" x14ac:dyDescent="0.35">
      <c r="A28" t="s">
        <v>34</v>
      </c>
      <c r="B28" t="s">
        <v>64</v>
      </c>
      <c r="C28" t="s">
        <v>68</v>
      </c>
      <c r="D28">
        <v>9</v>
      </c>
      <c r="E28">
        <v>800</v>
      </c>
      <c r="F28" s="2">
        <f>(Table14[[#This Row],[UnitsSold]]*Table14[[#This Row],[UnitPrice]])</f>
        <v>7200</v>
      </c>
      <c r="G28" t="s">
        <v>83</v>
      </c>
      <c r="H28" t="s">
        <v>75</v>
      </c>
      <c r="I28" t="s">
        <v>79</v>
      </c>
    </row>
    <row r="29" spans="1:12" x14ac:dyDescent="0.35">
      <c r="A29" t="s">
        <v>35</v>
      </c>
      <c r="B29" t="s">
        <v>65</v>
      </c>
      <c r="C29" t="s">
        <v>69</v>
      </c>
      <c r="D29">
        <v>20</v>
      </c>
      <c r="E29">
        <v>50</v>
      </c>
      <c r="F29" s="2">
        <f>(Table14[[#This Row],[UnitsSold]]*Table14[[#This Row],[UnitPrice]])</f>
        <v>1000</v>
      </c>
      <c r="G29" t="s">
        <v>82</v>
      </c>
      <c r="H29" t="s">
        <v>74</v>
      </c>
      <c r="I29" t="s">
        <v>78</v>
      </c>
    </row>
    <row r="30" spans="1:12" x14ac:dyDescent="0.35">
      <c r="A30" t="s">
        <v>36</v>
      </c>
      <c r="B30" t="s">
        <v>66</v>
      </c>
      <c r="C30" t="s">
        <v>68</v>
      </c>
      <c r="D30">
        <v>12</v>
      </c>
      <c r="E30">
        <v>800</v>
      </c>
      <c r="F30" s="2">
        <f>(Table14[[#This Row],[UnitsSold]]*Table14[[#This Row],[UnitPrice]])</f>
        <v>9600</v>
      </c>
      <c r="G30" t="s">
        <v>82</v>
      </c>
      <c r="H30" t="s">
        <v>75</v>
      </c>
      <c r="I30" t="s">
        <v>79</v>
      </c>
    </row>
    <row r="31" spans="1:12" x14ac:dyDescent="0.35">
      <c r="A31" t="s">
        <v>37</v>
      </c>
      <c r="B31" t="s">
        <v>67</v>
      </c>
      <c r="C31" t="s">
        <v>69</v>
      </c>
      <c r="D31">
        <v>20</v>
      </c>
      <c r="E31">
        <v>50</v>
      </c>
      <c r="F31" s="2">
        <f>(Table14[[#This Row],[UnitsSold]]*Table14[[#This Row],[UnitPrice]])</f>
        <v>1000</v>
      </c>
      <c r="G31" t="s">
        <v>84</v>
      </c>
      <c r="H31" t="s">
        <v>74</v>
      </c>
      <c r="I31" t="s">
        <v>78</v>
      </c>
    </row>
  </sheetData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E046-701B-41A8-BE10-0C3D87CD97F4}">
  <dimension ref="A1:P31"/>
  <sheetViews>
    <sheetView workbookViewId="0">
      <selection sqref="A1:I31"/>
    </sheetView>
  </sheetViews>
  <sheetFormatPr defaultRowHeight="14.5" x14ac:dyDescent="0.35"/>
  <cols>
    <col min="1" max="1" width="13.08984375" bestFit="1" customWidth="1"/>
    <col min="2" max="2" width="10.08984375" bestFit="1" customWidth="1"/>
    <col min="3" max="3" width="12" bestFit="1" customWidth="1"/>
    <col min="4" max="4" width="13.26953125" bestFit="1" customWidth="1"/>
    <col min="5" max="5" width="13" bestFit="1" customWidth="1"/>
    <col min="6" max="6" width="14.08984375" bestFit="1" customWidth="1"/>
    <col min="7" max="7" width="15.36328125" bestFit="1" customWidth="1"/>
    <col min="8" max="8" width="11.26953125" bestFit="1" customWidth="1"/>
    <col min="9" max="9" width="12.08984375" bestFit="1" customWidth="1"/>
    <col min="11" max="11" width="15.90625" bestFit="1" customWidth="1"/>
    <col min="12" max="15" width="13.1796875" bestFit="1" customWidth="1"/>
    <col min="16" max="16" width="13.08984375" bestFit="1" customWidth="1"/>
    <col min="17" max="17" width="11" bestFit="1" customWidth="1"/>
    <col min="18" max="18" width="11.6328125" bestFit="1" customWidth="1"/>
    <col min="19" max="19" width="12" bestFit="1" customWidth="1"/>
    <col min="20" max="20" width="11" bestFit="1" customWidth="1"/>
    <col min="21" max="21" width="11.6328125" bestFit="1" customWidth="1"/>
    <col min="22" max="22" width="12" bestFit="1" customWidth="1"/>
    <col min="23" max="23" width="11" bestFit="1" customWidth="1"/>
    <col min="24" max="24" width="11.6328125" bestFit="1" customWidth="1"/>
    <col min="25" max="25" width="12" bestFit="1" customWidth="1"/>
    <col min="26" max="26" width="11" bestFit="1" customWidth="1"/>
    <col min="27" max="27" width="11.6328125" bestFit="1" customWidth="1"/>
    <col min="28" max="28" width="12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</v>
      </c>
      <c r="G1" s="1" t="s">
        <v>5</v>
      </c>
      <c r="H1" s="1" t="s">
        <v>6</v>
      </c>
      <c r="I1" s="1" t="s">
        <v>7</v>
      </c>
    </row>
    <row r="2" spans="1:16" x14ac:dyDescent="0.35">
      <c r="A2" t="s">
        <v>8</v>
      </c>
      <c r="B2" t="s">
        <v>38</v>
      </c>
      <c r="C2" t="s">
        <v>68</v>
      </c>
      <c r="D2">
        <v>12</v>
      </c>
      <c r="E2">
        <v>800</v>
      </c>
      <c r="F2" s="2">
        <f>(Table145[[#This Row],[UnitsSold]]*Table145[[#This Row],[UnitPrice]])</f>
        <v>9600</v>
      </c>
      <c r="G2" t="s">
        <v>82</v>
      </c>
      <c r="H2" t="s">
        <v>74</v>
      </c>
      <c r="I2" t="s">
        <v>78</v>
      </c>
    </row>
    <row r="3" spans="1:16" x14ac:dyDescent="0.35">
      <c r="A3" t="s">
        <v>9</v>
      </c>
      <c r="B3" t="s">
        <v>39</v>
      </c>
      <c r="C3" t="s">
        <v>69</v>
      </c>
      <c r="D3">
        <v>18</v>
      </c>
      <c r="E3">
        <v>50</v>
      </c>
      <c r="F3" s="2">
        <f>(Table145[[#This Row],[UnitsSold]]*Table145[[#This Row],[UnitPrice]])</f>
        <v>900</v>
      </c>
      <c r="G3" t="s">
        <v>83</v>
      </c>
      <c r="H3" t="s">
        <v>74</v>
      </c>
      <c r="I3" t="s">
        <v>78</v>
      </c>
    </row>
    <row r="4" spans="1:16" ht="15.5" x14ac:dyDescent="0.35">
      <c r="A4" t="s">
        <v>10</v>
      </c>
      <c r="B4" t="s">
        <v>40</v>
      </c>
      <c r="C4" t="s">
        <v>68</v>
      </c>
      <c r="D4">
        <v>12</v>
      </c>
      <c r="E4">
        <v>800</v>
      </c>
      <c r="F4" s="2">
        <f>(Table145[[#This Row],[UnitsSold]]*Table145[[#This Row],[UnitPrice]])</f>
        <v>9600</v>
      </c>
      <c r="G4" t="s">
        <v>84</v>
      </c>
      <c r="H4" t="s">
        <v>74</v>
      </c>
      <c r="I4" t="s">
        <v>78</v>
      </c>
      <c r="K4" s="11" t="s">
        <v>87</v>
      </c>
      <c r="L4" s="11" t="s">
        <v>6</v>
      </c>
      <c r="M4" s="11" t="s">
        <v>5</v>
      </c>
      <c r="N4" s="12"/>
      <c r="O4" s="12"/>
      <c r="P4" s="12"/>
    </row>
    <row r="5" spans="1:16" ht="15.5" x14ac:dyDescent="0.35">
      <c r="A5" t="s">
        <v>11</v>
      </c>
      <c r="B5" t="s">
        <v>41</v>
      </c>
      <c r="C5" t="s">
        <v>70</v>
      </c>
      <c r="D5">
        <v>18</v>
      </c>
      <c r="E5">
        <v>300</v>
      </c>
      <c r="F5" s="2">
        <f>(Table145[[#This Row],[UnitsSold]]*Table145[[#This Row],[UnitPrice]])</f>
        <v>5400</v>
      </c>
      <c r="G5" t="s">
        <v>84</v>
      </c>
      <c r="H5" t="s">
        <v>74</v>
      </c>
      <c r="I5" t="s">
        <v>78</v>
      </c>
      <c r="K5" s="12"/>
      <c r="L5" s="12" t="s">
        <v>75</v>
      </c>
      <c r="M5" s="12" t="s">
        <v>77</v>
      </c>
      <c r="N5" s="12" t="s">
        <v>74</v>
      </c>
      <c r="O5" s="12" t="s">
        <v>76</v>
      </c>
      <c r="P5" s="12" t="s">
        <v>86</v>
      </c>
    </row>
    <row r="6" spans="1:16" ht="15.5" x14ac:dyDescent="0.35">
      <c r="A6" t="s">
        <v>12</v>
      </c>
      <c r="B6" t="s">
        <v>42</v>
      </c>
      <c r="C6" t="s">
        <v>71</v>
      </c>
      <c r="D6">
        <v>10</v>
      </c>
      <c r="E6">
        <v>30</v>
      </c>
      <c r="F6" s="2">
        <f>(Table145[[#This Row],[UnitsSold]]*Table145[[#This Row],[UnitPrice]])</f>
        <v>300</v>
      </c>
      <c r="G6" t="s">
        <v>83</v>
      </c>
      <c r="H6" t="s">
        <v>75</v>
      </c>
      <c r="I6" t="s">
        <v>79</v>
      </c>
      <c r="K6" s="11" t="s">
        <v>2</v>
      </c>
      <c r="L6" s="12"/>
      <c r="M6" s="12"/>
      <c r="N6" s="12"/>
      <c r="O6" s="12"/>
      <c r="P6" s="12"/>
    </row>
    <row r="7" spans="1:16" ht="15.5" x14ac:dyDescent="0.35">
      <c r="A7" t="s">
        <v>13</v>
      </c>
      <c r="B7" t="s">
        <v>43</v>
      </c>
      <c r="C7" t="s">
        <v>71</v>
      </c>
      <c r="D7">
        <v>9</v>
      </c>
      <c r="E7">
        <v>30</v>
      </c>
      <c r="F7" s="2">
        <f>(Table145[[#This Row],[UnitsSold]]*Table145[[#This Row],[UnitPrice]])</f>
        <v>270</v>
      </c>
      <c r="G7" t="s">
        <v>82</v>
      </c>
      <c r="H7" t="s">
        <v>75</v>
      </c>
      <c r="I7" t="s">
        <v>79</v>
      </c>
      <c r="K7" s="12" t="s">
        <v>69</v>
      </c>
      <c r="L7" s="13">
        <v>1850</v>
      </c>
      <c r="M7" s="13"/>
      <c r="N7" s="13">
        <v>2900</v>
      </c>
      <c r="O7" s="13">
        <v>350</v>
      </c>
      <c r="P7" s="13">
        <v>5100</v>
      </c>
    </row>
    <row r="8" spans="1:16" ht="15.5" x14ac:dyDescent="0.35">
      <c r="A8" t="s">
        <v>14</v>
      </c>
      <c r="B8" t="s">
        <v>44</v>
      </c>
      <c r="C8" t="s">
        <v>72</v>
      </c>
      <c r="D8">
        <v>17</v>
      </c>
      <c r="E8">
        <v>150</v>
      </c>
      <c r="F8" s="2">
        <f>(Table145[[#This Row],[UnitsSold]]*Table145[[#This Row],[UnitPrice]])</f>
        <v>2550</v>
      </c>
      <c r="G8" t="s">
        <v>83</v>
      </c>
      <c r="H8" t="s">
        <v>74</v>
      </c>
      <c r="I8" t="s">
        <v>78</v>
      </c>
      <c r="K8" s="12" t="s">
        <v>71</v>
      </c>
      <c r="L8" s="13">
        <v>570</v>
      </c>
      <c r="M8" s="13"/>
      <c r="N8" s="13">
        <v>300</v>
      </c>
      <c r="O8" s="13"/>
      <c r="P8" s="13">
        <v>870</v>
      </c>
    </row>
    <row r="9" spans="1:16" ht="15.5" x14ac:dyDescent="0.35">
      <c r="A9" t="s">
        <v>15</v>
      </c>
      <c r="B9" t="s">
        <v>45</v>
      </c>
      <c r="C9" t="s">
        <v>72</v>
      </c>
      <c r="D9">
        <v>6</v>
      </c>
      <c r="E9">
        <v>150</v>
      </c>
      <c r="F9" s="2">
        <f>(Table145[[#This Row],[UnitsSold]]*Table145[[#This Row],[UnitPrice]])</f>
        <v>900</v>
      </c>
      <c r="G9" t="s">
        <v>82</v>
      </c>
      <c r="H9" t="s">
        <v>75</v>
      </c>
      <c r="I9" t="s">
        <v>79</v>
      </c>
      <c r="K9" s="12" t="s">
        <v>68</v>
      </c>
      <c r="L9" s="13">
        <v>27200</v>
      </c>
      <c r="M9" s="13">
        <v>30400</v>
      </c>
      <c r="N9" s="13">
        <v>19200</v>
      </c>
      <c r="O9" s="13">
        <v>14400</v>
      </c>
      <c r="P9" s="13">
        <v>91200</v>
      </c>
    </row>
    <row r="10" spans="1:16" ht="15.5" x14ac:dyDescent="0.35">
      <c r="A10" t="s">
        <v>16</v>
      </c>
      <c r="B10" t="s">
        <v>46</v>
      </c>
      <c r="C10" t="s">
        <v>70</v>
      </c>
      <c r="D10">
        <v>7</v>
      </c>
      <c r="E10">
        <v>300</v>
      </c>
      <c r="F10" s="2">
        <f>(Table145[[#This Row],[UnitsSold]]*Table145[[#This Row],[UnitPrice]])</f>
        <v>2100</v>
      </c>
      <c r="G10" t="s">
        <v>84</v>
      </c>
      <c r="H10" t="s">
        <v>74</v>
      </c>
      <c r="I10" t="s">
        <v>78</v>
      </c>
      <c r="K10" s="12" t="s">
        <v>72</v>
      </c>
      <c r="L10" s="13">
        <v>1950</v>
      </c>
      <c r="M10" s="13"/>
      <c r="N10" s="13">
        <v>7200</v>
      </c>
      <c r="O10" s="13">
        <v>3300</v>
      </c>
      <c r="P10" s="13">
        <v>12450</v>
      </c>
    </row>
    <row r="11" spans="1:16" ht="15.5" x14ac:dyDescent="0.35">
      <c r="A11" t="s">
        <v>17</v>
      </c>
      <c r="B11" t="s">
        <v>47</v>
      </c>
      <c r="C11" t="s">
        <v>72</v>
      </c>
      <c r="D11">
        <v>7</v>
      </c>
      <c r="E11">
        <v>150</v>
      </c>
      <c r="F11" s="2">
        <f>(Table145[[#This Row],[UnitsSold]]*Table145[[#This Row],[UnitPrice]])</f>
        <v>1050</v>
      </c>
      <c r="G11" t="s">
        <v>84</v>
      </c>
      <c r="H11" t="s">
        <v>75</v>
      </c>
      <c r="I11" t="s">
        <v>79</v>
      </c>
      <c r="K11" s="12" t="s">
        <v>73</v>
      </c>
      <c r="L11" s="13">
        <v>2000</v>
      </c>
      <c r="M11" s="13">
        <v>2600</v>
      </c>
      <c r="N11" s="13"/>
      <c r="O11" s="13">
        <v>5200</v>
      </c>
      <c r="P11" s="13">
        <v>9800</v>
      </c>
    </row>
    <row r="12" spans="1:16" ht="15.5" x14ac:dyDescent="0.35">
      <c r="A12" t="s">
        <v>18</v>
      </c>
      <c r="B12" t="s">
        <v>48</v>
      </c>
      <c r="C12" t="s">
        <v>73</v>
      </c>
      <c r="D12">
        <v>7</v>
      </c>
      <c r="E12">
        <v>200</v>
      </c>
      <c r="F12" s="2">
        <f>(Table145[[#This Row],[UnitsSold]]*Table145[[#This Row],[UnitPrice]])</f>
        <v>1400</v>
      </c>
      <c r="G12" t="s">
        <v>82</v>
      </c>
      <c r="H12" t="s">
        <v>76</v>
      </c>
      <c r="I12" t="s">
        <v>80</v>
      </c>
      <c r="K12" s="12" t="s">
        <v>70</v>
      </c>
      <c r="L12" s="13"/>
      <c r="M12" s="13"/>
      <c r="N12" s="13">
        <v>7500</v>
      </c>
      <c r="O12" s="13"/>
      <c r="P12" s="13">
        <v>7500</v>
      </c>
    </row>
    <row r="13" spans="1:16" ht="15.5" x14ac:dyDescent="0.35">
      <c r="A13" t="s">
        <v>19</v>
      </c>
      <c r="B13" t="s">
        <v>49</v>
      </c>
      <c r="C13" t="s">
        <v>68</v>
      </c>
      <c r="D13">
        <v>19</v>
      </c>
      <c r="E13">
        <v>800</v>
      </c>
      <c r="F13" s="2">
        <f>(Table145[[#This Row],[UnitsSold]]*Table145[[#This Row],[UnitPrice]])</f>
        <v>15200</v>
      </c>
      <c r="G13" t="s">
        <v>82</v>
      </c>
      <c r="H13" t="s">
        <v>77</v>
      </c>
      <c r="I13" t="s">
        <v>81</v>
      </c>
      <c r="K13" s="12" t="s">
        <v>86</v>
      </c>
      <c r="L13" s="13">
        <v>33570</v>
      </c>
      <c r="M13" s="13">
        <v>33000</v>
      </c>
      <c r="N13" s="13">
        <v>37100</v>
      </c>
      <c r="O13" s="13">
        <v>23250</v>
      </c>
      <c r="P13" s="13">
        <v>126920</v>
      </c>
    </row>
    <row r="14" spans="1:16" x14ac:dyDescent="0.35">
      <c r="A14" t="s">
        <v>20</v>
      </c>
      <c r="B14" t="s">
        <v>50</v>
      </c>
      <c r="C14" t="s">
        <v>72</v>
      </c>
      <c r="D14">
        <v>16</v>
      </c>
      <c r="E14">
        <v>150</v>
      </c>
      <c r="F14" s="2">
        <f>(Table145[[#This Row],[UnitsSold]]*Table145[[#This Row],[UnitPrice]])</f>
        <v>2400</v>
      </c>
      <c r="G14" t="s">
        <v>82</v>
      </c>
      <c r="H14" t="s">
        <v>76</v>
      </c>
      <c r="I14" t="s">
        <v>80</v>
      </c>
    </row>
    <row r="15" spans="1:16" x14ac:dyDescent="0.35">
      <c r="A15" t="s">
        <v>21</v>
      </c>
      <c r="B15" t="s">
        <v>51</v>
      </c>
      <c r="C15" t="s">
        <v>73</v>
      </c>
      <c r="D15">
        <v>10</v>
      </c>
      <c r="E15">
        <v>200</v>
      </c>
      <c r="F15" s="2">
        <f>(Table145[[#This Row],[UnitsSold]]*Table145[[#This Row],[UnitPrice]])</f>
        <v>2000</v>
      </c>
      <c r="G15" t="s">
        <v>83</v>
      </c>
      <c r="H15" t="s">
        <v>75</v>
      </c>
      <c r="I15" t="s">
        <v>79</v>
      </c>
    </row>
    <row r="16" spans="1:16" x14ac:dyDescent="0.35">
      <c r="A16" t="s">
        <v>22</v>
      </c>
      <c r="B16" t="s">
        <v>52</v>
      </c>
      <c r="C16" t="s">
        <v>73</v>
      </c>
      <c r="D16">
        <v>19</v>
      </c>
      <c r="E16">
        <v>200</v>
      </c>
      <c r="F16" s="2">
        <f>(Table145[[#This Row],[UnitsSold]]*Table145[[#This Row],[UnitPrice]])</f>
        <v>3800</v>
      </c>
      <c r="G16" t="s">
        <v>84</v>
      </c>
      <c r="H16" t="s">
        <v>76</v>
      </c>
      <c r="I16" t="s">
        <v>80</v>
      </c>
    </row>
    <row r="17" spans="1:9" x14ac:dyDescent="0.35">
      <c r="A17" t="s">
        <v>23</v>
      </c>
      <c r="B17" t="s">
        <v>53</v>
      </c>
      <c r="C17" t="s">
        <v>72</v>
      </c>
      <c r="D17">
        <v>6</v>
      </c>
      <c r="E17">
        <v>150</v>
      </c>
      <c r="F17" s="2">
        <f>(Table145[[#This Row],[UnitsSold]]*Table145[[#This Row],[UnitPrice]])</f>
        <v>900</v>
      </c>
      <c r="G17" t="s">
        <v>82</v>
      </c>
      <c r="H17" t="s">
        <v>76</v>
      </c>
      <c r="I17" t="s">
        <v>80</v>
      </c>
    </row>
    <row r="18" spans="1:9" x14ac:dyDescent="0.35">
      <c r="A18" t="s">
        <v>24</v>
      </c>
      <c r="B18" t="s">
        <v>54</v>
      </c>
      <c r="C18" t="s">
        <v>68</v>
      </c>
      <c r="D18">
        <v>13</v>
      </c>
      <c r="E18">
        <v>800</v>
      </c>
      <c r="F18" s="2">
        <f>(Table145[[#This Row],[UnitsSold]]*Table145[[#This Row],[UnitPrice]])</f>
        <v>10400</v>
      </c>
      <c r="G18" t="s">
        <v>84</v>
      </c>
      <c r="H18" t="s">
        <v>75</v>
      </c>
      <c r="I18" t="s">
        <v>79</v>
      </c>
    </row>
    <row r="19" spans="1:9" x14ac:dyDescent="0.35">
      <c r="A19" t="s">
        <v>25</v>
      </c>
      <c r="B19" t="s">
        <v>55</v>
      </c>
      <c r="C19" t="s">
        <v>69</v>
      </c>
      <c r="D19">
        <v>20</v>
      </c>
      <c r="E19">
        <v>50</v>
      </c>
      <c r="F19" s="2">
        <f>(Table145[[#This Row],[UnitsSold]]*Table145[[#This Row],[UnitPrice]])</f>
        <v>1000</v>
      </c>
      <c r="G19" t="s">
        <v>83</v>
      </c>
      <c r="H19" t="s">
        <v>75</v>
      </c>
      <c r="I19" t="s">
        <v>79</v>
      </c>
    </row>
    <row r="20" spans="1:9" x14ac:dyDescent="0.35">
      <c r="A20" t="s">
        <v>26</v>
      </c>
      <c r="B20" t="s">
        <v>56</v>
      </c>
      <c r="C20" t="s">
        <v>73</v>
      </c>
      <c r="D20">
        <v>13</v>
      </c>
      <c r="E20">
        <v>200</v>
      </c>
      <c r="F20" s="2">
        <f>(Table145[[#This Row],[UnitsSold]]*Table145[[#This Row],[UnitPrice]])</f>
        <v>2600</v>
      </c>
      <c r="G20" t="s">
        <v>83</v>
      </c>
      <c r="H20" t="s">
        <v>77</v>
      </c>
      <c r="I20" t="s">
        <v>81</v>
      </c>
    </row>
    <row r="21" spans="1:9" x14ac:dyDescent="0.35">
      <c r="A21" t="s">
        <v>27</v>
      </c>
      <c r="B21" t="s">
        <v>57</v>
      </c>
      <c r="C21" t="s">
        <v>69</v>
      </c>
      <c r="D21">
        <v>17</v>
      </c>
      <c r="E21">
        <v>50</v>
      </c>
      <c r="F21" s="2">
        <f>(Table145[[#This Row],[UnitsSold]]*Table145[[#This Row],[UnitPrice]])</f>
        <v>850</v>
      </c>
      <c r="G21" t="s">
        <v>84</v>
      </c>
      <c r="H21" t="s">
        <v>75</v>
      </c>
      <c r="I21" t="s">
        <v>79</v>
      </c>
    </row>
    <row r="22" spans="1:9" x14ac:dyDescent="0.35">
      <c r="A22" t="s">
        <v>28</v>
      </c>
      <c r="B22" t="s">
        <v>58</v>
      </c>
      <c r="C22" t="s">
        <v>69</v>
      </c>
      <c r="D22">
        <v>7</v>
      </c>
      <c r="E22">
        <v>50</v>
      </c>
      <c r="F22" s="2">
        <f>(Table145[[#This Row],[UnitsSold]]*Table145[[#This Row],[UnitPrice]])</f>
        <v>350</v>
      </c>
      <c r="G22" t="s">
        <v>84</v>
      </c>
      <c r="H22" t="s">
        <v>76</v>
      </c>
      <c r="I22" t="s">
        <v>80</v>
      </c>
    </row>
    <row r="23" spans="1:9" x14ac:dyDescent="0.35">
      <c r="A23" t="s">
        <v>29</v>
      </c>
      <c r="B23" t="s">
        <v>59</v>
      </c>
      <c r="C23" t="s">
        <v>68</v>
      </c>
      <c r="D23">
        <v>18</v>
      </c>
      <c r="E23">
        <v>800</v>
      </c>
      <c r="F23" s="2">
        <f>(Table145[[#This Row],[UnitsSold]]*Table145[[#This Row],[UnitPrice]])</f>
        <v>14400</v>
      </c>
      <c r="G23" t="s">
        <v>83</v>
      </c>
      <c r="H23" t="s">
        <v>76</v>
      </c>
      <c r="I23" t="s">
        <v>80</v>
      </c>
    </row>
    <row r="24" spans="1:9" x14ac:dyDescent="0.35">
      <c r="A24" t="s">
        <v>30</v>
      </c>
      <c r="B24" t="s">
        <v>60</v>
      </c>
      <c r="C24" t="s">
        <v>68</v>
      </c>
      <c r="D24">
        <v>19</v>
      </c>
      <c r="E24">
        <v>800</v>
      </c>
      <c r="F24" s="2">
        <f>(Table145[[#This Row],[UnitsSold]]*Table145[[#This Row],[UnitPrice]])</f>
        <v>15200</v>
      </c>
      <c r="G24" t="s">
        <v>84</v>
      </c>
      <c r="H24" t="s">
        <v>77</v>
      </c>
      <c r="I24" t="s">
        <v>81</v>
      </c>
    </row>
    <row r="25" spans="1:9" x14ac:dyDescent="0.35">
      <c r="A25" t="s">
        <v>31</v>
      </c>
      <c r="B25" t="s">
        <v>61</v>
      </c>
      <c r="C25" t="s">
        <v>72</v>
      </c>
      <c r="D25">
        <v>13</v>
      </c>
      <c r="E25">
        <v>150</v>
      </c>
      <c r="F25" s="2">
        <f>(Table145[[#This Row],[UnitsSold]]*Table145[[#This Row],[UnitPrice]])</f>
        <v>1950</v>
      </c>
      <c r="G25" t="s">
        <v>83</v>
      </c>
      <c r="H25" t="s">
        <v>74</v>
      </c>
      <c r="I25" t="s">
        <v>78</v>
      </c>
    </row>
    <row r="26" spans="1:9" x14ac:dyDescent="0.35">
      <c r="A26" t="s">
        <v>32</v>
      </c>
      <c r="B26" t="s">
        <v>62</v>
      </c>
      <c r="C26" t="s">
        <v>72</v>
      </c>
      <c r="D26">
        <v>18</v>
      </c>
      <c r="E26">
        <v>150</v>
      </c>
      <c r="F26" s="2">
        <f>(Table145[[#This Row],[UnitsSold]]*Table145[[#This Row],[UnitPrice]])</f>
        <v>2700</v>
      </c>
      <c r="G26" t="s">
        <v>82</v>
      </c>
      <c r="H26" t="s">
        <v>74</v>
      </c>
      <c r="I26" t="s">
        <v>78</v>
      </c>
    </row>
    <row r="27" spans="1:9" x14ac:dyDescent="0.35">
      <c r="A27" t="s">
        <v>33</v>
      </c>
      <c r="B27" t="s">
        <v>63</v>
      </c>
      <c r="C27" t="s">
        <v>71</v>
      </c>
      <c r="D27">
        <v>10</v>
      </c>
      <c r="E27">
        <v>30</v>
      </c>
      <c r="F27" s="2">
        <f>(Table145[[#This Row],[UnitsSold]]*Table145[[#This Row],[UnitPrice]])</f>
        <v>300</v>
      </c>
      <c r="G27" t="s">
        <v>82</v>
      </c>
      <c r="H27" t="s">
        <v>74</v>
      </c>
      <c r="I27" t="s">
        <v>78</v>
      </c>
    </row>
    <row r="28" spans="1:9" x14ac:dyDescent="0.35">
      <c r="A28" t="s">
        <v>34</v>
      </c>
      <c r="B28" t="s">
        <v>64</v>
      </c>
      <c r="C28" t="s">
        <v>68</v>
      </c>
      <c r="D28">
        <v>9</v>
      </c>
      <c r="E28">
        <v>800</v>
      </c>
      <c r="F28" s="2">
        <f>(Table145[[#This Row],[UnitsSold]]*Table145[[#This Row],[UnitPrice]])</f>
        <v>7200</v>
      </c>
      <c r="G28" t="s">
        <v>83</v>
      </c>
      <c r="H28" t="s">
        <v>75</v>
      </c>
      <c r="I28" t="s">
        <v>79</v>
      </c>
    </row>
    <row r="29" spans="1:9" x14ac:dyDescent="0.35">
      <c r="A29" t="s">
        <v>35</v>
      </c>
      <c r="B29" t="s">
        <v>65</v>
      </c>
      <c r="C29" t="s">
        <v>69</v>
      </c>
      <c r="D29">
        <v>20</v>
      </c>
      <c r="E29">
        <v>50</v>
      </c>
      <c r="F29" s="2">
        <f>(Table145[[#This Row],[UnitsSold]]*Table145[[#This Row],[UnitPrice]])</f>
        <v>1000</v>
      </c>
      <c r="G29" t="s">
        <v>82</v>
      </c>
      <c r="H29" t="s">
        <v>74</v>
      </c>
      <c r="I29" t="s">
        <v>78</v>
      </c>
    </row>
    <row r="30" spans="1:9" x14ac:dyDescent="0.35">
      <c r="A30" t="s">
        <v>36</v>
      </c>
      <c r="B30" t="s">
        <v>66</v>
      </c>
      <c r="C30" t="s">
        <v>68</v>
      </c>
      <c r="D30">
        <v>12</v>
      </c>
      <c r="E30">
        <v>800</v>
      </c>
      <c r="F30" s="2">
        <f>(Table145[[#This Row],[UnitsSold]]*Table145[[#This Row],[UnitPrice]])</f>
        <v>9600</v>
      </c>
      <c r="G30" t="s">
        <v>82</v>
      </c>
      <c r="H30" t="s">
        <v>75</v>
      </c>
      <c r="I30" t="s">
        <v>79</v>
      </c>
    </row>
    <row r="31" spans="1:9" x14ac:dyDescent="0.35">
      <c r="A31" t="s">
        <v>37</v>
      </c>
      <c r="B31" t="s">
        <v>67</v>
      </c>
      <c r="C31" t="s">
        <v>69</v>
      </c>
      <c r="D31">
        <v>20</v>
      </c>
      <c r="E31">
        <v>50</v>
      </c>
      <c r="F31" s="2">
        <f>(Table145[[#This Row],[UnitsSold]]*Table145[[#This Row],[UnitPrice]])</f>
        <v>1000</v>
      </c>
      <c r="G31" t="s">
        <v>84</v>
      </c>
      <c r="H31" t="s">
        <v>74</v>
      </c>
      <c r="I31" t="s">
        <v>78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D83A-BE3C-44E0-A69C-EB2F4105FF53}">
  <dimension ref="A1:R31"/>
  <sheetViews>
    <sheetView workbookViewId="0">
      <selection sqref="A1:I31"/>
    </sheetView>
  </sheetViews>
  <sheetFormatPr defaultRowHeight="14.5" x14ac:dyDescent="0.35"/>
  <cols>
    <col min="1" max="1" width="13.08984375" bestFit="1" customWidth="1"/>
    <col min="2" max="2" width="10.08984375" bestFit="1" customWidth="1"/>
    <col min="3" max="3" width="12" bestFit="1" customWidth="1"/>
    <col min="4" max="4" width="13.26953125" bestFit="1" customWidth="1"/>
    <col min="5" max="5" width="13" bestFit="1" customWidth="1"/>
    <col min="6" max="6" width="14.08984375" bestFit="1" customWidth="1"/>
    <col min="7" max="7" width="15.36328125" bestFit="1" customWidth="1"/>
    <col min="8" max="8" width="11.26953125" bestFit="1" customWidth="1"/>
    <col min="9" max="9" width="12.08984375" bestFit="1" customWidth="1"/>
    <col min="11" max="11" width="15.90625" bestFit="1" customWidth="1"/>
    <col min="12" max="12" width="9.81640625" bestFit="1" customWidth="1"/>
    <col min="13" max="13" width="15.90625" bestFit="1" customWidth="1"/>
    <col min="14" max="15" width="13.08984375" bestFit="1" customWidth="1"/>
    <col min="16" max="16" width="9.81640625" bestFit="1" customWidth="1"/>
    <col min="17" max="18" width="11" bestFit="1" customWidth="1"/>
    <col min="19" max="20" width="11.26953125" bestFit="1" customWidth="1"/>
    <col min="21" max="21" width="12" bestFit="1" customWidth="1"/>
    <col min="22" max="22" width="11.90625" bestFit="1" customWidth="1"/>
    <col min="23" max="23" width="14.90625" bestFit="1" customWidth="1"/>
    <col min="24" max="26" width="11" bestFit="1" customWidth="1"/>
    <col min="27" max="27" width="11.6328125" bestFit="1" customWidth="1"/>
    <col min="28" max="28" width="12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</v>
      </c>
      <c r="G1" s="1" t="s">
        <v>5</v>
      </c>
      <c r="H1" s="1" t="s">
        <v>6</v>
      </c>
      <c r="I1" s="1" t="s">
        <v>7</v>
      </c>
    </row>
    <row r="2" spans="1:18" x14ac:dyDescent="0.35">
      <c r="A2" t="s">
        <v>8</v>
      </c>
      <c r="B2" t="s">
        <v>38</v>
      </c>
      <c r="C2" t="s">
        <v>68</v>
      </c>
      <c r="D2">
        <v>12</v>
      </c>
      <c r="E2">
        <v>800</v>
      </c>
      <c r="F2" s="2">
        <f>(Table1456[[#This Row],[UnitsSold]]*Table1456[[#This Row],[UnitPrice]])</f>
        <v>9600</v>
      </c>
      <c r="G2" t="s">
        <v>82</v>
      </c>
      <c r="H2" t="s">
        <v>74</v>
      </c>
      <c r="I2" t="s">
        <v>78</v>
      </c>
    </row>
    <row r="3" spans="1:18" x14ac:dyDescent="0.35">
      <c r="A3" t="s">
        <v>9</v>
      </c>
      <c r="B3" t="s">
        <v>39</v>
      </c>
      <c r="C3" t="s">
        <v>69</v>
      </c>
      <c r="D3">
        <v>18</v>
      </c>
      <c r="E3">
        <v>50</v>
      </c>
      <c r="F3" s="2">
        <f>(Table1456[[#This Row],[UnitsSold]]*Table1456[[#This Row],[UnitPrice]])</f>
        <v>900</v>
      </c>
      <c r="G3" t="s">
        <v>83</v>
      </c>
      <c r="H3" t="s">
        <v>74</v>
      </c>
      <c r="I3" t="s">
        <v>78</v>
      </c>
      <c r="K3" s="3" t="s">
        <v>2</v>
      </c>
      <c r="L3" s="3" t="s">
        <v>7</v>
      </c>
      <c r="M3" t="s">
        <v>87</v>
      </c>
      <c r="O3" s="3" t="s">
        <v>87</v>
      </c>
      <c r="Q3" s="3" t="s">
        <v>6</v>
      </c>
    </row>
    <row r="4" spans="1:18" x14ac:dyDescent="0.35">
      <c r="A4" t="s">
        <v>10</v>
      </c>
      <c r="B4" t="s">
        <v>40</v>
      </c>
      <c r="C4" t="s">
        <v>68</v>
      </c>
      <c r="D4">
        <v>12</v>
      </c>
      <c r="E4">
        <v>800</v>
      </c>
      <c r="F4" s="2">
        <f>(Table1456[[#This Row],[UnitsSold]]*Table1456[[#This Row],[UnitPrice]])</f>
        <v>9600</v>
      </c>
      <c r="G4" t="s">
        <v>84</v>
      </c>
      <c r="H4" t="s">
        <v>74</v>
      </c>
      <c r="I4" t="s">
        <v>78</v>
      </c>
      <c r="K4" t="s">
        <v>69</v>
      </c>
      <c r="L4" t="s">
        <v>78</v>
      </c>
      <c r="M4" s="2">
        <v>2900</v>
      </c>
      <c r="O4" s="3" t="s">
        <v>2</v>
      </c>
      <c r="P4" s="3" t="s">
        <v>7</v>
      </c>
      <c r="Q4" t="s">
        <v>74</v>
      </c>
      <c r="R4" t="s">
        <v>86</v>
      </c>
    </row>
    <row r="5" spans="1:18" x14ac:dyDescent="0.35">
      <c r="A5" t="s">
        <v>11</v>
      </c>
      <c r="B5" t="s">
        <v>41</v>
      </c>
      <c r="C5" t="s">
        <v>70</v>
      </c>
      <c r="D5">
        <v>18</v>
      </c>
      <c r="E5">
        <v>300</v>
      </c>
      <c r="F5" s="2">
        <f>(Table1456[[#This Row],[UnitsSold]]*Table1456[[#This Row],[UnitPrice]])</f>
        <v>5400</v>
      </c>
      <c r="G5" t="s">
        <v>84</v>
      </c>
      <c r="H5" t="s">
        <v>74</v>
      </c>
      <c r="I5" t="s">
        <v>78</v>
      </c>
      <c r="K5" t="s">
        <v>88</v>
      </c>
      <c r="M5" s="2">
        <v>2900</v>
      </c>
      <c r="O5" t="s">
        <v>69</v>
      </c>
      <c r="P5" t="s">
        <v>78</v>
      </c>
      <c r="Q5" s="2">
        <v>2900</v>
      </c>
      <c r="R5" s="2">
        <v>2900</v>
      </c>
    </row>
    <row r="6" spans="1:18" x14ac:dyDescent="0.35">
      <c r="A6" t="s">
        <v>12</v>
      </c>
      <c r="B6" t="s">
        <v>42</v>
      </c>
      <c r="C6" t="s">
        <v>71</v>
      </c>
      <c r="D6">
        <v>10</v>
      </c>
      <c r="E6">
        <v>30</v>
      </c>
      <c r="F6" s="2">
        <f>(Table1456[[#This Row],[UnitsSold]]*Table1456[[#This Row],[UnitPrice]])</f>
        <v>300</v>
      </c>
      <c r="G6" t="s">
        <v>83</v>
      </c>
      <c r="H6" t="s">
        <v>75</v>
      </c>
      <c r="I6" t="s">
        <v>79</v>
      </c>
      <c r="K6" t="s">
        <v>71</v>
      </c>
      <c r="L6" t="s">
        <v>78</v>
      </c>
      <c r="M6" s="2">
        <v>300</v>
      </c>
      <c r="O6" t="s">
        <v>88</v>
      </c>
      <c r="Q6" s="2">
        <v>2900</v>
      </c>
      <c r="R6" s="2">
        <v>2900</v>
      </c>
    </row>
    <row r="7" spans="1:18" x14ac:dyDescent="0.35">
      <c r="A7" t="s">
        <v>13</v>
      </c>
      <c r="B7" t="s">
        <v>43</v>
      </c>
      <c r="C7" t="s">
        <v>71</v>
      </c>
      <c r="D7">
        <v>9</v>
      </c>
      <c r="E7">
        <v>30</v>
      </c>
      <c r="F7" s="2">
        <f>(Table1456[[#This Row],[UnitsSold]]*Table1456[[#This Row],[UnitPrice]])</f>
        <v>270</v>
      </c>
      <c r="G7" t="s">
        <v>82</v>
      </c>
      <c r="H7" t="s">
        <v>75</v>
      </c>
      <c r="I7" t="s">
        <v>79</v>
      </c>
      <c r="K7" t="s">
        <v>89</v>
      </c>
      <c r="M7" s="2">
        <v>300</v>
      </c>
      <c r="O7" t="s">
        <v>71</v>
      </c>
      <c r="P7" t="s">
        <v>78</v>
      </c>
      <c r="Q7" s="2">
        <v>300</v>
      </c>
      <c r="R7" s="2">
        <v>300</v>
      </c>
    </row>
    <row r="8" spans="1:18" x14ac:dyDescent="0.35">
      <c r="A8" t="s">
        <v>14</v>
      </c>
      <c r="B8" t="s">
        <v>44</v>
      </c>
      <c r="C8" t="s">
        <v>72</v>
      </c>
      <c r="D8">
        <v>17</v>
      </c>
      <c r="E8">
        <v>150</v>
      </c>
      <c r="F8" s="2">
        <f>(Table1456[[#This Row],[UnitsSold]]*Table1456[[#This Row],[UnitPrice]])</f>
        <v>2550</v>
      </c>
      <c r="G8" t="s">
        <v>83</v>
      </c>
      <c r="H8" t="s">
        <v>74</v>
      </c>
      <c r="I8" t="s">
        <v>78</v>
      </c>
      <c r="K8" t="s">
        <v>68</v>
      </c>
      <c r="L8" t="s">
        <v>78</v>
      </c>
      <c r="M8" s="2">
        <v>19200</v>
      </c>
      <c r="O8" t="s">
        <v>89</v>
      </c>
      <c r="Q8" s="2">
        <v>300</v>
      </c>
      <c r="R8" s="2">
        <v>300</v>
      </c>
    </row>
    <row r="9" spans="1:18" x14ac:dyDescent="0.35">
      <c r="A9" t="s">
        <v>15</v>
      </c>
      <c r="B9" t="s">
        <v>45</v>
      </c>
      <c r="C9" t="s">
        <v>72</v>
      </c>
      <c r="D9">
        <v>6</v>
      </c>
      <c r="E9">
        <v>150</v>
      </c>
      <c r="F9" s="2">
        <f>(Table1456[[#This Row],[UnitsSold]]*Table1456[[#This Row],[UnitPrice]])</f>
        <v>900</v>
      </c>
      <c r="G9" t="s">
        <v>82</v>
      </c>
      <c r="H9" t="s">
        <v>75</v>
      </c>
      <c r="I9" t="s">
        <v>79</v>
      </c>
      <c r="K9" t="s">
        <v>90</v>
      </c>
      <c r="M9" s="2">
        <v>19200</v>
      </c>
      <c r="O9" t="s">
        <v>68</v>
      </c>
      <c r="P9" t="s">
        <v>78</v>
      </c>
      <c r="Q9" s="2">
        <v>19200</v>
      </c>
      <c r="R9" s="2">
        <v>19200</v>
      </c>
    </row>
    <row r="10" spans="1:18" x14ac:dyDescent="0.35">
      <c r="A10" t="s">
        <v>16</v>
      </c>
      <c r="B10" t="s">
        <v>46</v>
      </c>
      <c r="C10" t="s">
        <v>70</v>
      </c>
      <c r="D10">
        <v>7</v>
      </c>
      <c r="E10">
        <v>300</v>
      </c>
      <c r="F10" s="2">
        <f>(Table1456[[#This Row],[UnitsSold]]*Table1456[[#This Row],[UnitPrice]])</f>
        <v>2100</v>
      </c>
      <c r="G10" t="s">
        <v>84</v>
      </c>
      <c r="H10" t="s">
        <v>74</v>
      </c>
      <c r="I10" t="s">
        <v>78</v>
      </c>
      <c r="K10" t="s">
        <v>72</v>
      </c>
      <c r="L10" t="s">
        <v>78</v>
      </c>
      <c r="M10" s="2">
        <v>7200</v>
      </c>
      <c r="O10" t="s">
        <v>90</v>
      </c>
      <c r="Q10" s="2">
        <v>19200</v>
      </c>
      <c r="R10" s="2">
        <v>19200</v>
      </c>
    </row>
    <row r="11" spans="1:18" x14ac:dyDescent="0.35">
      <c r="A11" t="s">
        <v>17</v>
      </c>
      <c r="B11" t="s">
        <v>47</v>
      </c>
      <c r="C11" t="s">
        <v>72</v>
      </c>
      <c r="D11">
        <v>7</v>
      </c>
      <c r="E11">
        <v>150</v>
      </c>
      <c r="F11" s="2">
        <f>(Table1456[[#This Row],[UnitsSold]]*Table1456[[#This Row],[UnitPrice]])</f>
        <v>1050</v>
      </c>
      <c r="G11" t="s">
        <v>84</v>
      </c>
      <c r="H11" t="s">
        <v>75</v>
      </c>
      <c r="I11" t="s">
        <v>79</v>
      </c>
      <c r="K11" t="s">
        <v>91</v>
      </c>
      <c r="M11" s="2">
        <v>7200</v>
      </c>
      <c r="O11" t="s">
        <v>72</v>
      </c>
      <c r="P11" t="s">
        <v>78</v>
      </c>
      <c r="Q11" s="2">
        <v>7200</v>
      </c>
      <c r="R11" s="2">
        <v>7200</v>
      </c>
    </row>
    <row r="12" spans="1:18" x14ac:dyDescent="0.35">
      <c r="A12" t="s">
        <v>18</v>
      </c>
      <c r="B12" t="s">
        <v>48</v>
      </c>
      <c r="C12" t="s">
        <v>73</v>
      </c>
      <c r="D12">
        <v>7</v>
      </c>
      <c r="E12">
        <v>200</v>
      </c>
      <c r="F12" s="2">
        <f>(Table1456[[#This Row],[UnitsSold]]*Table1456[[#This Row],[UnitPrice]])</f>
        <v>1400</v>
      </c>
      <c r="G12" t="s">
        <v>82</v>
      </c>
      <c r="H12" t="s">
        <v>76</v>
      </c>
      <c r="I12" t="s">
        <v>80</v>
      </c>
      <c r="K12" t="s">
        <v>70</v>
      </c>
      <c r="L12" t="s">
        <v>78</v>
      </c>
      <c r="M12" s="2">
        <v>7500</v>
      </c>
      <c r="O12" t="s">
        <v>91</v>
      </c>
      <c r="Q12" s="2">
        <v>7200</v>
      </c>
      <c r="R12" s="2">
        <v>7200</v>
      </c>
    </row>
    <row r="13" spans="1:18" x14ac:dyDescent="0.35">
      <c r="A13" t="s">
        <v>19</v>
      </c>
      <c r="B13" t="s">
        <v>49</v>
      </c>
      <c r="C13" t="s">
        <v>68</v>
      </c>
      <c r="D13">
        <v>19</v>
      </c>
      <c r="E13">
        <v>800</v>
      </c>
      <c r="F13" s="2">
        <f>(Table1456[[#This Row],[UnitsSold]]*Table1456[[#This Row],[UnitPrice]])</f>
        <v>15200</v>
      </c>
      <c r="G13" t="s">
        <v>82</v>
      </c>
      <c r="H13" t="s">
        <v>77</v>
      </c>
      <c r="I13" t="s">
        <v>81</v>
      </c>
      <c r="K13" t="s">
        <v>92</v>
      </c>
      <c r="M13" s="2">
        <v>7500</v>
      </c>
      <c r="O13" t="s">
        <v>70</v>
      </c>
      <c r="P13" t="s">
        <v>78</v>
      </c>
      <c r="Q13" s="2">
        <v>7500</v>
      </c>
      <c r="R13" s="2">
        <v>7500</v>
      </c>
    </row>
    <row r="14" spans="1:18" x14ac:dyDescent="0.35">
      <c r="A14" t="s">
        <v>20</v>
      </c>
      <c r="B14" t="s">
        <v>50</v>
      </c>
      <c r="C14" t="s">
        <v>72</v>
      </c>
      <c r="D14">
        <v>16</v>
      </c>
      <c r="E14">
        <v>150</v>
      </c>
      <c r="F14" s="2">
        <f>(Table1456[[#This Row],[UnitsSold]]*Table1456[[#This Row],[UnitPrice]])</f>
        <v>2400</v>
      </c>
      <c r="G14" t="s">
        <v>82</v>
      </c>
      <c r="H14" t="s">
        <v>76</v>
      </c>
      <c r="I14" t="s">
        <v>80</v>
      </c>
      <c r="K14" t="s">
        <v>86</v>
      </c>
      <c r="M14" s="2">
        <v>37100</v>
      </c>
      <c r="O14" t="s">
        <v>92</v>
      </c>
      <c r="Q14" s="2">
        <v>7500</v>
      </c>
      <c r="R14" s="2">
        <v>7500</v>
      </c>
    </row>
    <row r="15" spans="1:18" x14ac:dyDescent="0.35">
      <c r="A15" t="s">
        <v>21</v>
      </c>
      <c r="B15" t="s">
        <v>51</v>
      </c>
      <c r="C15" t="s">
        <v>73</v>
      </c>
      <c r="D15">
        <v>10</v>
      </c>
      <c r="E15">
        <v>200</v>
      </c>
      <c r="F15" s="2">
        <f>(Table1456[[#This Row],[UnitsSold]]*Table1456[[#This Row],[UnitPrice]])</f>
        <v>2000</v>
      </c>
      <c r="G15" t="s">
        <v>83</v>
      </c>
      <c r="H15" t="s">
        <v>75</v>
      </c>
      <c r="I15" t="s">
        <v>79</v>
      </c>
      <c r="O15" t="s">
        <v>86</v>
      </c>
      <c r="Q15" s="2">
        <v>37100</v>
      </c>
      <c r="R15" s="2">
        <v>37100</v>
      </c>
    </row>
    <row r="16" spans="1:18" x14ac:dyDescent="0.35">
      <c r="A16" t="s">
        <v>22</v>
      </c>
      <c r="B16" t="s">
        <v>52</v>
      </c>
      <c r="C16" t="s">
        <v>73</v>
      </c>
      <c r="D16">
        <v>19</v>
      </c>
      <c r="E16">
        <v>200</v>
      </c>
      <c r="F16" s="2">
        <f>(Table1456[[#This Row],[UnitsSold]]*Table1456[[#This Row],[UnitPrice]])</f>
        <v>3800</v>
      </c>
      <c r="G16" t="s">
        <v>84</v>
      </c>
      <c r="H16" t="s">
        <v>76</v>
      </c>
      <c r="I16" t="s">
        <v>80</v>
      </c>
    </row>
    <row r="17" spans="1:9" x14ac:dyDescent="0.35">
      <c r="A17" t="s">
        <v>23</v>
      </c>
      <c r="B17" t="s">
        <v>53</v>
      </c>
      <c r="C17" t="s">
        <v>72</v>
      </c>
      <c r="D17">
        <v>6</v>
      </c>
      <c r="E17">
        <v>150</v>
      </c>
      <c r="F17" s="2">
        <f>(Table1456[[#This Row],[UnitsSold]]*Table1456[[#This Row],[UnitPrice]])</f>
        <v>900</v>
      </c>
      <c r="G17" t="s">
        <v>82</v>
      </c>
      <c r="H17" t="s">
        <v>76</v>
      </c>
      <c r="I17" t="s">
        <v>80</v>
      </c>
    </row>
    <row r="18" spans="1:9" x14ac:dyDescent="0.35">
      <c r="A18" t="s">
        <v>24</v>
      </c>
      <c r="B18" t="s">
        <v>54</v>
      </c>
      <c r="C18" t="s">
        <v>68</v>
      </c>
      <c r="D18">
        <v>13</v>
      </c>
      <c r="E18">
        <v>800</v>
      </c>
      <c r="F18" s="2">
        <f>(Table1456[[#This Row],[UnitsSold]]*Table1456[[#This Row],[UnitPrice]])</f>
        <v>10400</v>
      </c>
      <c r="G18" t="s">
        <v>84</v>
      </c>
      <c r="H18" t="s">
        <v>75</v>
      </c>
      <c r="I18" t="s">
        <v>79</v>
      </c>
    </row>
    <row r="19" spans="1:9" x14ac:dyDescent="0.35">
      <c r="A19" t="s">
        <v>25</v>
      </c>
      <c r="B19" t="s">
        <v>55</v>
      </c>
      <c r="C19" t="s">
        <v>69</v>
      </c>
      <c r="D19">
        <v>20</v>
      </c>
      <c r="E19">
        <v>50</v>
      </c>
      <c r="F19" s="2">
        <f>(Table1456[[#This Row],[UnitsSold]]*Table1456[[#This Row],[UnitPrice]])</f>
        <v>1000</v>
      </c>
      <c r="G19" t="s">
        <v>83</v>
      </c>
      <c r="H19" t="s">
        <v>75</v>
      </c>
      <c r="I19" t="s">
        <v>79</v>
      </c>
    </row>
    <row r="20" spans="1:9" x14ac:dyDescent="0.35">
      <c r="A20" t="s">
        <v>26</v>
      </c>
      <c r="B20" t="s">
        <v>56</v>
      </c>
      <c r="C20" t="s">
        <v>73</v>
      </c>
      <c r="D20">
        <v>13</v>
      </c>
      <c r="E20">
        <v>200</v>
      </c>
      <c r="F20" s="2">
        <f>(Table1456[[#This Row],[UnitsSold]]*Table1456[[#This Row],[UnitPrice]])</f>
        <v>2600</v>
      </c>
      <c r="G20" t="s">
        <v>83</v>
      </c>
      <c r="H20" t="s">
        <v>77</v>
      </c>
      <c r="I20" t="s">
        <v>81</v>
      </c>
    </row>
    <row r="21" spans="1:9" x14ac:dyDescent="0.35">
      <c r="A21" t="s">
        <v>27</v>
      </c>
      <c r="B21" t="s">
        <v>57</v>
      </c>
      <c r="C21" t="s">
        <v>69</v>
      </c>
      <c r="D21">
        <v>17</v>
      </c>
      <c r="E21">
        <v>50</v>
      </c>
      <c r="F21" s="2">
        <f>(Table1456[[#This Row],[UnitsSold]]*Table1456[[#This Row],[UnitPrice]])</f>
        <v>850</v>
      </c>
      <c r="G21" t="s">
        <v>84</v>
      </c>
      <c r="H21" t="s">
        <v>75</v>
      </c>
      <c r="I21" t="s">
        <v>79</v>
      </c>
    </row>
    <row r="22" spans="1:9" x14ac:dyDescent="0.35">
      <c r="A22" t="s">
        <v>28</v>
      </c>
      <c r="B22" t="s">
        <v>58</v>
      </c>
      <c r="C22" t="s">
        <v>69</v>
      </c>
      <c r="D22">
        <v>7</v>
      </c>
      <c r="E22">
        <v>50</v>
      </c>
      <c r="F22" s="2">
        <f>(Table1456[[#This Row],[UnitsSold]]*Table1456[[#This Row],[UnitPrice]])</f>
        <v>350</v>
      </c>
      <c r="G22" t="s">
        <v>84</v>
      </c>
      <c r="H22" t="s">
        <v>76</v>
      </c>
      <c r="I22" t="s">
        <v>80</v>
      </c>
    </row>
    <row r="23" spans="1:9" x14ac:dyDescent="0.35">
      <c r="A23" t="s">
        <v>29</v>
      </c>
      <c r="B23" t="s">
        <v>59</v>
      </c>
      <c r="C23" t="s">
        <v>68</v>
      </c>
      <c r="D23">
        <v>18</v>
      </c>
      <c r="E23">
        <v>800</v>
      </c>
      <c r="F23" s="2">
        <f>(Table1456[[#This Row],[UnitsSold]]*Table1456[[#This Row],[UnitPrice]])</f>
        <v>14400</v>
      </c>
      <c r="G23" t="s">
        <v>83</v>
      </c>
      <c r="H23" t="s">
        <v>76</v>
      </c>
      <c r="I23" t="s">
        <v>80</v>
      </c>
    </row>
    <row r="24" spans="1:9" x14ac:dyDescent="0.35">
      <c r="A24" t="s">
        <v>30</v>
      </c>
      <c r="B24" t="s">
        <v>60</v>
      </c>
      <c r="C24" t="s">
        <v>68</v>
      </c>
      <c r="D24">
        <v>19</v>
      </c>
      <c r="E24">
        <v>800</v>
      </c>
      <c r="F24" s="2">
        <f>(Table1456[[#This Row],[UnitsSold]]*Table1456[[#This Row],[UnitPrice]])</f>
        <v>15200</v>
      </c>
      <c r="G24" t="s">
        <v>84</v>
      </c>
      <c r="H24" t="s">
        <v>77</v>
      </c>
      <c r="I24" t="s">
        <v>81</v>
      </c>
    </row>
    <row r="25" spans="1:9" x14ac:dyDescent="0.35">
      <c r="A25" t="s">
        <v>31</v>
      </c>
      <c r="B25" t="s">
        <v>61</v>
      </c>
      <c r="C25" t="s">
        <v>72</v>
      </c>
      <c r="D25">
        <v>13</v>
      </c>
      <c r="E25">
        <v>150</v>
      </c>
      <c r="F25" s="2">
        <f>(Table1456[[#This Row],[UnitsSold]]*Table1456[[#This Row],[UnitPrice]])</f>
        <v>1950</v>
      </c>
      <c r="G25" t="s">
        <v>83</v>
      </c>
      <c r="H25" t="s">
        <v>74</v>
      </c>
      <c r="I25" t="s">
        <v>78</v>
      </c>
    </row>
    <row r="26" spans="1:9" x14ac:dyDescent="0.35">
      <c r="A26" t="s">
        <v>32</v>
      </c>
      <c r="B26" t="s">
        <v>62</v>
      </c>
      <c r="C26" t="s">
        <v>72</v>
      </c>
      <c r="D26">
        <v>18</v>
      </c>
      <c r="E26">
        <v>150</v>
      </c>
      <c r="F26" s="2">
        <f>(Table1456[[#This Row],[UnitsSold]]*Table1456[[#This Row],[UnitPrice]])</f>
        <v>2700</v>
      </c>
      <c r="G26" t="s">
        <v>82</v>
      </c>
      <c r="H26" t="s">
        <v>74</v>
      </c>
      <c r="I26" t="s">
        <v>78</v>
      </c>
    </row>
    <row r="27" spans="1:9" x14ac:dyDescent="0.35">
      <c r="A27" t="s">
        <v>33</v>
      </c>
      <c r="B27" t="s">
        <v>63</v>
      </c>
      <c r="C27" t="s">
        <v>71</v>
      </c>
      <c r="D27">
        <v>10</v>
      </c>
      <c r="E27">
        <v>30</v>
      </c>
      <c r="F27" s="2">
        <f>(Table1456[[#This Row],[UnitsSold]]*Table1456[[#This Row],[UnitPrice]])</f>
        <v>300</v>
      </c>
      <c r="G27" t="s">
        <v>82</v>
      </c>
      <c r="H27" t="s">
        <v>74</v>
      </c>
      <c r="I27" t="s">
        <v>78</v>
      </c>
    </row>
    <row r="28" spans="1:9" x14ac:dyDescent="0.35">
      <c r="A28" t="s">
        <v>34</v>
      </c>
      <c r="B28" t="s">
        <v>64</v>
      </c>
      <c r="C28" t="s">
        <v>68</v>
      </c>
      <c r="D28">
        <v>9</v>
      </c>
      <c r="E28">
        <v>800</v>
      </c>
      <c r="F28" s="2">
        <f>(Table1456[[#This Row],[UnitsSold]]*Table1456[[#This Row],[UnitPrice]])</f>
        <v>7200</v>
      </c>
      <c r="G28" t="s">
        <v>83</v>
      </c>
      <c r="H28" t="s">
        <v>75</v>
      </c>
      <c r="I28" t="s">
        <v>79</v>
      </c>
    </row>
    <row r="29" spans="1:9" x14ac:dyDescent="0.35">
      <c r="A29" t="s">
        <v>35</v>
      </c>
      <c r="B29" t="s">
        <v>65</v>
      </c>
      <c r="C29" t="s">
        <v>69</v>
      </c>
      <c r="D29">
        <v>20</v>
      </c>
      <c r="E29">
        <v>50</v>
      </c>
      <c r="F29" s="2">
        <f>(Table1456[[#This Row],[UnitsSold]]*Table1456[[#This Row],[UnitPrice]])</f>
        <v>1000</v>
      </c>
      <c r="G29" t="s">
        <v>82</v>
      </c>
      <c r="H29" t="s">
        <v>74</v>
      </c>
      <c r="I29" t="s">
        <v>78</v>
      </c>
    </row>
    <row r="30" spans="1:9" x14ac:dyDescent="0.35">
      <c r="A30" t="s">
        <v>36</v>
      </c>
      <c r="B30" t="s">
        <v>66</v>
      </c>
      <c r="C30" t="s">
        <v>68</v>
      </c>
      <c r="D30">
        <v>12</v>
      </c>
      <c r="E30">
        <v>800</v>
      </c>
      <c r="F30" s="2">
        <f>(Table1456[[#This Row],[UnitsSold]]*Table1456[[#This Row],[UnitPrice]])</f>
        <v>9600</v>
      </c>
      <c r="G30" t="s">
        <v>82</v>
      </c>
      <c r="H30" t="s">
        <v>75</v>
      </c>
      <c r="I30" t="s">
        <v>79</v>
      </c>
    </row>
    <row r="31" spans="1:9" x14ac:dyDescent="0.35">
      <c r="A31" t="s">
        <v>37</v>
      </c>
      <c r="B31" t="s">
        <v>67</v>
      </c>
      <c r="C31" t="s">
        <v>69</v>
      </c>
      <c r="D31">
        <v>20</v>
      </c>
      <c r="E31">
        <v>50</v>
      </c>
      <c r="F31" s="2">
        <f>(Table1456[[#This Row],[UnitsSold]]*Table1456[[#This Row],[UnitPrice]])</f>
        <v>1000</v>
      </c>
      <c r="G31" t="s">
        <v>84</v>
      </c>
      <c r="H31" t="s">
        <v>74</v>
      </c>
      <c r="I31" t="s">
        <v>78</v>
      </c>
    </row>
  </sheetData>
  <pageMargins left="0.7" right="0.7" top="0.75" bottom="0.75" header="0.3" footer="0.3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F854-B6AA-47AC-937B-4B83B3AC2CBD}">
  <dimension ref="A1:L31"/>
  <sheetViews>
    <sheetView topLeftCell="D1" workbookViewId="0">
      <selection activeCell="F1" sqref="F1"/>
    </sheetView>
  </sheetViews>
  <sheetFormatPr defaultRowHeight="14.5" x14ac:dyDescent="0.35"/>
  <cols>
    <col min="1" max="1" width="13.08984375" bestFit="1" customWidth="1"/>
    <col min="2" max="2" width="10.08984375" bestFit="1" customWidth="1"/>
    <col min="3" max="3" width="12" bestFit="1" customWidth="1"/>
    <col min="4" max="4" width="13.26953125" bestFit="1" customWidth="1"/>
    <col min="5" max="5" width="13" bestFit="1" customWidth="1"/>
    <col min="6" max="6" width="14.08984375" bestFit="1" customWidth="1"/>
    <col min="7" max="7" width="15.36328125" bestFit="1" customWidth="1"/>
    <col min="8" max="8" width="11.26953125" bestFit="1" customWidth="1"/>
    <col min="9" max="9" width="12.08984375" bestFit="1" customWidth="1"/>
    <col min="11" max="11" width="12.36328125" bestFit="1" customWidth="1"/>
    <col min="12" max="12" width="18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93</v>
      </c>
      <c r="G1" s="1" t="s">
        <v>5</v>
      </c>
      <c r="H1" s="1" t="s">
        <v>6</v>
      </c>
      <c r="I1" s="1" t="s">
        <v>7</v>
      </c>
    </row>
    <row r="2" spans="1:12" x14ac:dyDescent="0.35">
      <c r="A2" t="s">
        <v>8</v>
      </c>
      <c r="B2" t="s">
        <v>38</v>
      </c>
      <c r="C2" t="s">
        <v>68</v>
      </c>
      <c r="D2">
        <v>12</v>
      </c>
      <c r="E2">
        <v>800</v>
      </c>
      <c r="F2" s="2">
        <f>(Table14567[[#This Row],[UnitsSold]]*Table14567[[#This Row],[UnitPrice]])</f>
        <v>9600</v>
      </c>
      <c r="G2" t="s">
        <v>82</v>
      </c>
      <c r="H2" t="s">
        <v>74</v>
      </c>
      <c r="I2" t="s">
        <v>78</v>
      </c>
    </row>
    <row r="3" spans="1:12" ht="15.5" x14ac:dyDescent="0.35">
      <c r="A3" t="s">
        <v>9</v>
      </c>
      <c r="B3" t="s">
        <v>39</v>
      </c>
      <c r="C3" t="s">
        <v>69</v>
      </c>
      <c r="D3">
        <v>18</v>
      </c>
      <c r="E3">
        <v>50</v>
      </c>
      <c r="F3" s="2">
        <f>(Table14567[[#This Row],[UnitsSold]]*Table14567[[#This Row],[UnitPrice]])</f>
        <v>900</v>
      </c>
      <c r="G3" t="s">
        <v>83</v>
      </c>
      <c r="H3" t="s">
        <v>74</v>
      </c>
      <c r="I3" t="s">
        <v>78</v>
      </c>
      <c r="K3" s="8" t="s">
        <v>2</v>
      </c>
      <c r="L3" s="9" t="s">
        <v>87</v>
      </c>
    </row>
    <row r="4" spans="1:12" ht="15.5" x14ac:dyDescent="0.35">
      <c r="A4" t="s">
        <v>10</v>
      </c>
      <c r="B4" t="s">
        <v>40</v>
      </c>
      <c r="C4" t="s">
        <v>68</v>
      </c>
      <c r="D4">
        <v>12</v>
      </c>
      <c r="E4">
        <v>800</v>
      </c>
      <c r="F4" s="2">
        <f>(Table14567[[#This Row],[UnitsSold]]*Table14567[[#This Row],[UnitPrice]])</f>
        <v>9600</v>
      </c>
      <c r="G4" t="s">
        <v>84</v>
      </c>
      <c r="H4" t="s">
        <v>74</v>
      </c>
      <c r="I4" t="s">
        <v>78</v>
      </c>
      <c r="K4" s="9" t="s">
        <v>69</v>
      </c>
      <c r="L4" s="10">
        <v>5100</v>
      </c>
    </row>
    <row r="5" spans="1:12" ht="15.5" x14ac:dyDescent="0.35">
      <c r="A5" t="s">
        <v>11</v>
      </c>
      <c r="B5" t="s">
        <v>41</v>
      </c>
      <c r="C5" t="s">
        <v>70</v>
      </c>
      <c r="D5">
        <v>18</v>
      </c>
      <c r="E5">
        <v>300</v>
      </c>
      <c r="F5" s="2">
        <f>(Table14567[[#This Row],[UnitsSold]]*Table14567[[#This Row],[UnitPrice]])</f>
        <v>5400</v>
      </c>
      <c r="G5" t="s">
        <v>84</v>
      </c>
      <c r="H5" t="s">
        <v>74</v>
      </c>
      <c r="I5" t="s">
        <v>78</v>
      </c>
      <c r="K5" s="9" t="s">
        <v>71</v>
      </c>
      <c r="L5" s="10">
        <v>870</v>
      </c>
    </row>
    <row r="6" spans="1:12" ht="15.5" x14ac:dyDescent="0.35">
      <c r="A6" t="s">
        <v>12</v>
      </c>
      <c r="B6" t="s">
        <v>42</v>
      </c>
      <c r="C6" t="s">
        <v>71</v>
      </c>
      <c r="D6">
        <v>10</v>
      </c>
      <c r="E6">
        <v>30</v>
      </c>
      <c r="F6" s="2">
        <f>(Table14567[[#This Row],[UnitsSold]]*Table14567[[#This Row],[UnitPrice]])</f>
        <v>300</v>
      </c>
      <c r="G6" t="s">
        <v>83</v>
      </c>
      <c r="H6" t="s">
        <v>75</v>
      </c>
      <c r="I6" t="s">
        <v>79</v>
      </c>
      <c r="K6" s="9" t="s">
        <v>68</v>
      </c>
      <c r="L6" s="10">
        <v>91200</v>
      </c>
    </row>
    <row r="7" spans="1:12" ht="15.5" x14ac:dyDescent="0.35">
      <c r="A7" t="s">
        <v>13</v>
      </c>
      <c r="B7" t="s">
        <v>43</v>
      </c>
      <c r="C7" t="s">
        <v>71</v>
      </c>
      <c r="D7">
        <v>9</v>
      </c>
      <c r="E7">
        <v>30</v>
      </c>
      <c r="F7" s="2">
        <f>(Table14567[[#This Row],[UnitsSold]]*Table14567[[#This Row],[UnitPrice]])</f>
        <v>270</v>
      </c>
      <c r="G7" t="s">
        <v>82</v>
      </c>
      <c r="H7" t="s">
        <v>75</v>
      </c>
      <c r="I7" t="s">
        <v>79</v>
      </c>
      <c r="K7" s="9" t="s">
        <v>72</v>
      </c>
      <c r="L7" s="10">
        <v>12450</v>
      </c>
    </row>
    <row r="8" spans="1:12" ht="15.5" x14ac:dyDescent="0.35">
      <c r="A8" t="s">
        <v>14</v>
      </c>
      <c r="B8" t="s">
        <v>44</v>
      </c>
      <c r="C8" t="s">
        <v>72</v>
      </c>
      <c r="D8">
        <v>17</v>
      </c>
      <c r="E8">
        <v>150</v>
      </c>
      <c r="F8" s="2">
        <f>(Table14567[[#This Row],[UnitsSold]]*Table14567[[#This Row],[UnitPrice]])</f>
        <v>2550</v>
      </c>
      <c r="G8" t="s">
        <v>83</v>
      </c>
      <c r="H8" t="s">
        <v>74</v>
      </c>
      <c r="I8" t="s">
        <v>78</v>
      </c>
      <c r="K8" s="9" t="s">
        <v>73</v>
      </c>
      <c r="L8" s="10">
        <v>9800</v>
      </c>
    </row>
    <row r="9" spans="1:12" ht="15.5" x14ac:dyDescent="0.35">
      <c r="A9" t="s">
        <v>15</v>
      </c>
      <c r="B9" t="s">
        <v>45</v>
      </c>
      <c r="C9" t="s">
        <v>72</v>
      </c>
      <c r="D9">
        <v>6</v>
      </c>
      <c r="E9">
        <v>150</v>
      </c>
      <c r="F9" s="2">
        <f>(Table14567[[#This Row],[UnitsSold]]*Table14567[[#This Row],[UnitPrice]])</f>
        <v>900</v>
      </c>
      <c r="G9" t="s">
        <v>82</v>
      </c>
      <c r="H9" t="s">
        <v>75</v>
      </c>
      <c r="I9" t="s">
        <v>79</v>
      </c>
      <c r="K9" s="9" t="s">
        <v>70</v>
      </c>
      <c r="L9" s="10">
        <v>7500</v>
      </c>
    </row>
    <row r="10" spans="1:12" ht="15.5" x14ac:dyDescent="0.35">
      <c r="A10" t="s">
        <v>16</v>
      </c>
      <c r="B10" t="s">
        <v>46</v>
      </c>
      <c r="C10" t="s">
        <v>70</v>
      </c>
      <c r="D10">
        <v>7</v>
      </c>
      <c r="E10">
        <v>300</v>
      </c>
      <c r="F10" s="2">
        <f>(Table14567[[#This Row],[UnitsSold]]*Table14567[[#This Row],[UnitPrice]])</f>
        <v>2100</v>
      </c>
      <c r="G10" t="s">
        <v>84</v>
      </c>
      <c r="H10" t="s">
        <v>74</v>
      </c>
      <c r="I10" t="s">
        <v>78</v>
      </c>
      <c r="K10" s="9" t="s">
        <v>86</v>
      </c>
      <c r="L10" s="10">
        <v>126920</v>
      </c>
    </row>
    <row r="11" spans="1:12" x14ac:dyDescent="0.35">
      <c r="A11" t="s">
        <v>17</v>
      </c>
      <c r="B11" t="s">
        <v>47</v>
      </c>
      <c r="C11" t="s">
        <v>72</v>
      </c>
      <c r="D11">
        <v>7</v>
      </c>
      <c r="E11">
        <v>150</v>
      </c>
      <c r="F11" s="2">
        <f>(Table14567[[#This Row],[UnitsSold]]*Table14567[[#This Row],[UnitPrice]])</f>
        <v>1050</v>
      </c>
      <c r="G11" t="s">
        <v>84</v>
      </c>
      <c r="H11" t="s">
        <v>75</v>
      </c>
      <c r="I11" t="s">
        <v>79</v>
      </c>
    </row>
    <row r="12" spans="1:12" x14ac:dyDescent="0.35">
      <c r="A12" t="s">
        <v>18</v>
      </c>
      <c r="B12" t="s">
        <v>48</v>
      </c>
      <c r="C12" t="s">
        <v>73</v>
      </c>
      <c r="D12">
        <v>7</v>
      </c>
      <c r="E12">
        <v>200</v>
      </c>
      <c r="F12" s="2">
        <f>(Table14567[[#This Row],[UnitsSold]]*Table14567[[#This Row],[UnitPrice]])</f>
        <v>1400</v>
      </c>
      <c r="G12" t="s">
        <v>82</v>
      </c>
      <c r="H12" t="s">
        <v>76</v>
      </c>
      <c r="I12" t="s">
        <v>80</v>
      </c>
    </row>
    <row r="13" spans="1:12" x14ac:dyDescent="0.35">
      <c r="A13" t="s">
        <v>19</v>
      </c>
      <c r="B13" t="s">
        <v>49</v>
      </c>
      <c r="C13" t="s">
        <v>68</v>
      </c>
      <c r="D13">
        <v>19</v>
      </c>
      <c r="E13">
        <v>800</v>
      </c>
      <c r="F13" s="2">
        <f>(Table14567[[#This Row],[UnitsSold]]*Table14567[[#This Row],[UnitPrice]])</f>
        <v>15200</v>
      </c>
      <c r="G13" t="s">
        <v>82</v>
      </c>
      <c r="H13" t="s">
        <v>77</v>
      </c>
      <c r="I13" t="s">
        <v>81</v>
      </c>
    </row>
    <row r="14" spans="1:12" x14ac:dyDescent="0.35">
      <c r="A14" t="s">
        <v>20</v>
      </c>
      <c r="B14" t="s">
        <v>50</v>
      </c>
      <c r="C14" t="s">
        <v>72</v>
      </c>
      <c r="D14">
        <v>16</v>
      </c>
      <c r="E14">
        <v>150</v>
      </c>
      <c r="F14" s="2">
        <f>(Table14567[[#This Row],[UnitsSold]]*Table14567[[#This Row],[UnitPrice]])</f>
        <v>2400</v>
      </c>
      <c r="G14" t="s">
        <v>82</v>
      </c>
      <c r="H14" t="s">
        <v>76</v>
      </c>
      <c r="I14" t="s">
        <v>80</v>
      </c>
    </row>
    <row r="15" spans="1:12" x14ac:dyDescent="0.35">
      <c r="A15" t="s">
        <v>21</v>
      </c>
      <c r="B15" t="s">
        <v>51</v>
      </c>
      <c r="C15" t="s">
        <v>73</v>
      </c>
      <c r="D15">
        <v>10</v>
      </c>
      <c r="E15">
        <v>200</v>
      </c>
      <c r="F15" s="2">
        <f>(Table14567[[#This Row],[UnitsSold]]*Table14567[[#This Row],[UnitPrice]])</f>
        <v>2000</v>
      </c>
      <c r="G15" t="s">
        <v>83</v>
      </c>
      <c r="H15" t="s">
        <v>75</v>
      </c>
      <c r="I15" t="s">
        <v>79</v>
      </c>
    </row>
    <row r="16" spans="1:12" x14ac:dyDescent="0.35">
      <c r="A16" t="s">
        <v>22</v>
      </c>
      <c r="B16" t="s">
        <v>52</v>
      </c>
      <c r="C16" t="s">
        <v>73</v>
      </c>
      <c r="D16">
        <v>19</v>
      </c>
      <c r="E16">
        <v>200</v>
      </c>
      <c r="F16" s="2">
        <f>(Table14567[[#This Row],[UnitsSold]]*Table14567[[#This Row],[UnitPrice]])</f>
        <v>3800</v>
      </c>
      <c r="G16" t="s">
        <v>84</v>
      </c>
      <c r="H16" t="s">
        <v>76</v>
      </c>
      <c r="I16" t="s">
        <v>80</v>
      </c>
    </row>
    <row r="17" spans="1:9" x14ac:dyDescent="0.35">
      <c r="A17" t="s">
        <v>23</v>
      </c>
      <c r="B17" t="s">
        <v>53</v>
      </c>
      <c r="C17" t="s">
        <v>72</v>
      </c>
      <c r="D17">
        <v>6</v>
      </c>
      <c r="E17">
        <v>150</v>
      </c>
      <c r="F17" s="2">
        <f>(Table14567[[#This Row],[UnitsSold]]*Table14567[[#This Row],[UnitPrice]])</f>
        <v>900</v>
      </c>
      <c r="G17" t="s">
        <v>82</v>
      </c>
      <c r="H17" t="s">
        <v>76</v>
      </c>
      <c r="I17" t="s">
        <v>80</v>
      </c>
    </row>
    <row r="18" spans="1:9" x14ac:dyDescent="0.35">
      <c r="A18" t="s">
        <v>24</v>
      </c>
      <c r="B18" t="s">
        <v>54</v>
      </c>
      <c r="C18" t="s">
        <v>68</v>
      </c>
      <c r="D18">
        <v>13</v>
      </c>
      <c r="E18">
        <v>800</v>
      </c>
      <c r="F18" s="2">
        <f>(Table14567[[#This Row],[UnitsSold]]*Table14567[[#This Row],[UnitPrice]])</f>
        <v>10400</v>
      </c>
      <c r="G18" t="s">
        <v>84</v>
      </c>
      <c r="H18" t="s">
        <v>75</v>
      </c>
      <c r="I18" t="s">
        <v>79</v>
      </c>
    </row>
    <row r="19" spans="1:9" x14ac:dyDescent="0.35">
      <c r="A19" t="s">
        <v>25</v>
      </c>
      <c r="B19" t="s">
        <v>55</v>
      </c>
      <c r="C19" t="s">
        <v>69</v>
      </c>
      <c r="D19">
        <v>20</v>
      </c>
      <c r="E19">
        <v>50</v>
      </c>
      <c r="F19" s="2">
        <f>(Table14567[[#This Row],[UnitsSold]]*Table14567[[#This Row],[UnitPrice]])</f>
        <v>1000</v>
      </c>
      <c r="G19" t="s">
        <v>83</v>
      </c>
      <c r="H19" t="s">
        <v>75</v>
      </c>
      <c r="I19" t="s">
        <v>79</v>
      </c>
    </row>
    <row r="20" spans="1:9" x14ac:dyDescent="0.35">
      <c r="A20" t="s">
        <v>26</v>
      </c>
      <c r="B20" t="s">
        <v>56</v>
      </c>
      <c r="C20" t="s">
        <v>73</v>
      </c>
      <c r="D20">
        <v>13</v>
      </c>
      <c r="E20">
        <v>200</v>
      </c>
      <c r="F20" s="2">
        <f>(Table14567[[#This Row],[UnitsSold]]*Table14567[[#This Row],[UnitPrice]])</f>
        <v>2600</v>
      </c>
      <c r="G20" t="s">
        <v>83</v>
      </c>
      <c r="H20" t="s">
        <v>77</v>
      </c>
      <c r="I20" t="s">
        <v>81</v>
      </c>
    </row>
    <row r="21" spans="1:9" x14ac:dyDescent="0.35">
      <c r="A21" t="s">
        <v>27</v>
      </c>
      <c r="B21" t="s">
        <v>57</v>
      </c>
      <c r="C21" t="s">
        <v>69</v>
      </c>
      <c r="D21">
        <v>17</v>
      </c>
      <c r="E21">
        <v>50</v>
      </c>
      <c r="F21" s="2">
        <f>(Table14567[[#This Row],[UnitsSold]]*Table14567[[#This Row],[UnitPrice]])</f>
        <v>850</v>
      </c>
      <c r="G21" t="s">
        <v>84</v>
      </c>
      <c r="H21" t="s">
        <v>75</v>
      </c>
      <c r="I21" t="s">
        <v>79</v>
      </c>
    </row>
    <row r="22" spans="1:9" x14ac:dyDescent="0.35">
      <c r="A22" t="s">
        <v>28</v>
      </c>
      <c r="B22" t="s">
        <v>58</v>
      </c>
      <c r="C22" t="s">
        <v>69</v>
      </c>
      <c r="D22">
        <v>7</v>
      </c>
      <c r="E22">
        <v>50</v>
      </c>
      <c r="F22" s="2">
        <f>(Table14567[[#This Row],[UnitsSold]]*Table14567[[#This Row],[UnitPrice]])</f>
        <v>350</v>
      </c>
      <c r="G22" t="s">
        <v>84</v>
      </c>
      <c r="H22" t="s">
        <v>76</v>
      </c>
      <c r="I22" t="s">
        <v>80</v>
      </c>
    </row>
    <row r="23" spans="1:9" x14ac:dyDescent="0.35">
      <c r="A23" t="s">
        <v>29</v>
      </c>
      <c r="B23" t="s">
        <v>59</v>
      </c>
      <c r="C23" t="s">
        <v>68</v>
      </c>
      <c r="D23">
        <v>18</v>
      </c>
      <c r="E23">
        <v>800</v>
      </c>
      <c r="F23" s="2">
        <f>(Table14567[[#This Row],[UnitsSold]]*Table14567[[#This Row],[UnitPrice]])</f>
        <v>14400</v>
      </c>
      <c r="G23" t="s">
        <v>83</v>
      </c>
      <c r="H23" t="s">
        <v>76</v>
      </c>
      <c r="I23" t="s">
        <v>80</v>
      </c>
    </row>
    <row r="24" spans="1:9" x14ac:dyDescent="0.35">
      <c r="A24" t="s">
        <v>30</v>
      </c>
      <c r="B24" t="s">
        <v>60</v>
      </c>
      <c r="C24" t="s">
        <v>68</v>
      </c>
      <c r="D24">
        <v>19</v>
      </c>
      <c r="E24">
        <v>800</v>
      </c>
      <c r="F24" s="2">
        <f>(Table14567[[#This Row],[UnitsSold]]*Table14567[[#This Row],[UnitPrice]])</f>
        <v>15200</v>
      </c>
      <c r="G24" t="s">
        <v>84</v>
      </c>
      <c r="H24" t="s">
        <v>77</v>
      </c>
      <c r="I24" t="s">
        <v>81</v>
      </c>
    </row>
    <row r="25" spans="1:9" x14ac:dyDescent="0.35">
      <c r="A25" t="s">
        <v>31</v>
      </c>
      <c r="B25" t="s">
        <v>61</v>
      </c>
      <c r="C25" t="s">
        <v>72</v>
      </c>
      <c r="D25">
        <v>13</v>
      </c>
      <c r="E25">
        <v>150</v>
      </c>
      <c r="F25" s="2">
        <f>(Table14567[[#This Row],[UnitsSold]]*Table14567[[#This Row],[UnitPrice]])</f>
        <v>1950</v>
      </c>
      <c r="G25" t="s">
        <v>83</v>
      </c>
      <c r="H25" t="s">
        <v>74</v>
      </c>
      <c r="I25" t="s">
        <v>78</v>
      </c>
    </row>
    <row r="26" spans="1:9" x14ac:dyDescent="0.35">
      <c r="A26" t="s">
        <v>32</v>
      </c>
      <c r="B26" t="s">
        <v>62</v>
      </c>
      <c r="C26" t="s">
        <v>72</v>
      </c>
      <c r="D26">
        <v>18</v>
      </c>
      <c r="E26">
        <v>150</v>
      </c>
      <c r="F26" s="2">
        <f>(Table14567[[#This Row],[UnitsSold]]*Table14567[[#This Row],[UnitPrice]])</f>
        <v>2700</v>
      </c>
      <c r="G26" t="s">
        <v>82</v>
      </c>
      <c r="H26" t="s">
        <v>74</v>
      </c>
      <c r="I26" t="s">
        <v>78</v>
      </c>
    </row>
    <row r="27" spans="1:9" x14ac:dyDescent="0.35">
      <c r="A27" t="s">
        <v>33</v>
      </c>
      <c r="B27" t="s">
        <v>63</v>
      </c>
      <c r="C27" t="s">
        <v>71</v>
      </c>
      <c r="D27">
        <v>10</v>
      </c>
      <c r="E27">
        <v>30</v>
      </c>
      <c r="F27" s="2">
        <f>(Table14567[[#This Row],[UnitsSold]]*Table14567[[#This Row],[UnitPrice]])</f>
        <v>300</v>
      </c>
      <c r="G27" t="s">
        <v>82</v>
      </c>
      <c r="H27" t="s">
        <v>74</v>
      </c>
      <c r="I27" t="s">
        <v>78</v>
      </c>
    </row>
    <row r="28" spans="1:9" x14ac:dyDescent="0.35">
      <c r="A28" t="s">
        <v>34</v>
      </c>
      <c r="B28" t="s">
        <v>64</v>
      </c>
      <c r="C28" t="s">
        <v>68</v>
      </c>
      <c r="D28">
        <v>9</v>
      </c>
      <c r="E28">
        <v>800</v>
      </c>
      <c r="F28" s="2">
        <f>(Table14567[[#This Row],[UnitsSold]]*Table14567[[#This Row],[UnitPrice]])</f>
        <v>7200</v>
      </c>
      <c r="G28" t="s">
        <v>83</v>
      </c>
      <c r="H28" t="s">
        <v>75</v>
      </c>
      <c r="I28" t="s">
        <v>79</v>
      </c>
    </row>
    <row r="29" spans="1:9" x14ac:dyDescent="0.35">
      <c r="A29" t="s">
        <v>35</v>
      </c>
      <c r="B29" t="s">
        <v>65</v>
      </c>
      <c r="C29" t="s">
        <v>69</v>
      </c>
      <c r="D29">
        <v>20</v>
      </c>
      <c r="E29">
        <v>50</v>
      </c>
      <c r="F29" s="2">
        <f>(Table14567[[#This Row],[UnitsSold]]*Table14567[[#This Row],[UnitPrice]])</f>
        <v>1000</v>
      </c>
      <c r="G29" t="s">
        <v>82</v>
      </c>
      <c r="H29" t="s">
        <v>74</v>
      </c>
      <c r="I29" t="s">
        <v>78</v>
      </c>
    </row>
    <row r="30" spans="1:9" x14ac:dyDescent="0.35">
      <c r="A30" t="s">
        <v>36</v>
      </c>
      <c r="B30" t="s">
        <v>66</v>
      </c>
      <c r="C30" t="s">
        <v>68</v>
      </c>
      <c r="D30">
        <v>12</v>
      </c>
      <c r="E30">
        <v>800</v>
      </c>
      <c r="F30" s="2">
        <f>(Table14567[[#This Row],[UnitsSold]]*Table14567[[#This Row],[UnitPrice]])</f>
        <v>9600</v>
      </c>
      <c r="G30" t="s">
        <v>82</v>
      </c>
      <c r="H30" t="s">
        <v>75</v>
      </c>
      <c r="I30" t="s">
        <v>79</v>
      </c>
    </row>
    <row r="31" spans="1:9" x14ac:dyDescent="0.35">
      <c r="A31" t="s">
        <v>37</v>
      </c>
      <c r="B31" t="s">
        <v>67</v>
      </c>
      <c r="C31" t="s">
        <v>69</v>
      </c>
      <c r="D31">
        <v>20</v>
      </c>
      <c r="E31">
        <v>50</v>
      </c>
      <c r="F31" s="2">
        <f>(Table14567[[#This Row],[UnitsSold]]*Table14567[[#This Row],[UnitPrice]])</f>
        <v>1000</v>
      </c>
      <c r="G31" t="s">
        <v>84</v>
      </c>
      <c r="H31" t="s">
        <v>74</v>
      </c>
      <c r="I31" t="s">
        <v>78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Table And Chart </vt:lpstr>
      <vt:lpstr>Customizing Pivot Table</vt:lpstr>
      <vt:lpstr>Sorting Pivot Table</vt:lpstr>
      <vt:lpstr>Grouping Pivot Table</vt:lpstr>
      <vt:lpstr>Filtering Pivot Table</vt:lpstr>
      <vt:lpstr>Changing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Mohamed5A7</dc:creator>
  <cp:lastModifiedBy>Mohamed Dahir10</cp:lastModifiedBy>
  <dcterms:created xsi:type="dcterms:W3CDTF">2025-07-24T16:50:42Z</dcterms:created>
  <dcterms:modified xsi:type="dcterms:W3CDTF">2025-12-07T08:49:51Z</dcterms:modified>
</cp:coreProperties>
</file>