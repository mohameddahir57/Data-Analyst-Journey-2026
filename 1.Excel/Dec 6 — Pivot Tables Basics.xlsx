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13_ncr:1_{882C3647-04BB-4924-B575-648362B3BA94}" xr6:coauthVersionLast="47" xr6:coauthVersionMax="47" xr10:uidLastSave="{00000000-0000-0000-0000-000000000000}"/>
  <bookViews>
    <workbookView xWindow="-110" yWindow="-110" windowWidth="22620" windowHeight="13500" xr2:uid="{E48420E2-86E2-4C2E-B988-C39B2A192375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1" l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<sst xmlns="http://schemas.openxmlformats.org/spreadsheetml/2006/main" count="212" uniqueCount="88">
  <si>
    <t>InvoiceID</t>
  </si>
  <si>
    <t>Date</t>
  </si>
  <si>
    <t>Product</t>
  </si>
  <si>
    <t>UnitsSold</t>
  </si>
  <si>
    <t>UnitPrice</t>
  </si>
  <si>
    <t>Tatal Price</t>
  </si>
  <si>
    <t>SalesPerson</t>
  </si>
  <si>
    <t>City</t>
  </si>
  <si>
    <t>Country</t>
  </si>
  <si>
    <t>INV100</t>
  </si>
  <si>
    <t>2024-10-16</t>
  </si>
  <si>
    <t>Laptop</t>
  </si>
  <si>
    <t>Qamaan</t>
  </si>
  <si>
    <t>Mogadishu</t>
  </si>
  <si>
    <t xml:space="preserve"> Somalia</t>
  </si>
  <si>
    <t>INV101</t>
  </si>
  <si>
    <t>2023-08-17</t>
  </si>
  <si>
    <t>Headphones</t>
  </si>
  <si>
    <t>Yusuf</t>
  </si>
  <si>
    <t>INV102</t>
  </si>
  <si>
    <t>2023-02-02</t>
  </si>
  <si>
    <t>Guled</t>
  </si>
  <si>
    <t>INV103</t>
  </si>
  <si>
    <t>2024-06-01</t>
  </si>
  <si>
    <t>Tablet</t>
  </si>
  <si>
    <t>INV104</t>
  </si>
  <si>
    <t>2023-08-14</t>
  </si>
  <si>
    <t>Keyboard</t>
  </si>
  <si>
    <t>Addis Ababa</t>
  </si>
  <si>
    <t xml:space="preserve"> Ethiopia</t>
  </si>
  <si>
    <t>INV105</t>
  </si>
  <si>
    <t>2024-12-15</t>
  </si>
  <si>
    <t>INV106</t>
  </si>
  <si>
    <t>2023-08-09</t>
  </si>
  <si>
    <t>Monitor</t>
  </si>
  <si>
    <t>INV107</t>
  </si>
  <si>
    <t>2023-04-10</t>
  </si>
  <si>
    <t>INV108</t>
  </si>
  <si>
    <t>2024-04-15</t>
  </si>
  <si>
    <t>INV109</t>
  </si>
  <si>
    <t>2024-07-19</t>
  </si>
  <si>
    <t>INV110</t>
  </si>
  <si>
    <t>2023-02-16</t>
  </si>
  <si>
    <t>Printer</t>
  </si>
  <si>
    <t>Nairobi</t>
  </si>
  <si>
    <t xml:space="preserve"> Kenya</t>
  </si>
  <si>
    <t>INV111</t>
  </si>
  <si>
    <t>2023-08-27</t>
  </si>
  <si>
    <t>Kampala</t>
  </si>
  <si>
    <t xml:space="preserve"> Uganda</t>
  </si>
  <si>
    <t>INV112</t>
  </si>
  <si>
    <t>2024-10-12</t>
  </si>
  <si>
    <t>INV113</t>
  </si>
  <si>
    <t>2023-08-03</t>
  </si>
  <si>
    <t>INV114</t>
  </si>
  <si>
    <t>2024-06-30</t>
  </si>
  <si>
    <t>INV115</t>
  </si>
  <si>
    <t>2024-01-24</t>
  </si>
  <si>
    <t>INV116</t>
  </si>
  <si>
    <t>2023-08-23</t>
  </si>
  <si>
    <t>INV117</t>
  </si>
  <si>
    <t>2023-03-09</t>
  </si>
  <si>
    <t>INV118</t>
  </si>
  <si>
    <t>2024-02-10</t>
  </si>
  <si>
    <t>INV119</t>
  </si>
  <si>
    <t>2023-05-23</t>
  </si>
  <si>
    <t>INV120</t>
  </si>
  <si>
    <t>2024-01-06</t>
  </si>
  <si>
    <t>INV121</t>
  </si>
  <si>
    <t>2023-02-18</t>
  </si>
  <si>
    <t>INV122</t>
  </si>
  <si>
    <t>2024-09-02</t>
  </si>
  <si>
    <t>INV123</t>
  </si>
  <si>
    <t>2024-06-25</t>
  </si>
  <si>
    <t>INV124</t>
  </si>
  <si>
    <t>2024-10-18</t>
  </si>
  <si>
    <t>INV125</t>
  </si>
  <si>
    <t>2023-06-11</t>
  </si>
  <si>
    <t>INV126</t>
  </si>
  <si>
    <t>2024-06-03</t>
  </si>
  <si>
    <t>INV127</t>
  </si>
  <si>
    <t>2024-01-18</t>
  </si>
  <si>
    <t>INV128</t>
  </si>
  <si>
    <t>2023-01-20</t>
  </si>
  <si>
    <t>INV129</t>
  </si>
  <si>
    <t>2023-03-01</t>
  </si>
  <si>
    <t>Sum of Tatal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</si>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</sst>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4"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sis/Advanced%20Excel%20of%20Data%20Analysis%20Eng.%20Ahmed%20Yusuf%20Qamaan/Excel%20File_0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5A7" refreshedDate="45989.87166203704" createdVersion="8" refreshedVersion="8" minRefreshableVersion="3" recordCount="30" xr:uid="{79E38622-BE61-465C-B69F-383FCE0CF1F2}">
  <cacheSource type="worksheet">
    <worksheetSource name="Table1" r:id="rId2"/>
  </cacheSource>
  <cacheFields count="9">
    <cacheField name="InvoiceID" numFmtId="0">
      <sharedItems/>
    </cacheField>
    <cacheField name="Date" numFmtId="0">
      <sharedItems/>
    </cacheField>
    <cacheField name="Product" numFmtId="0">
      <sharedItems count="6">
        <s v="Laptop"/>
        <s v="Headphones"/>
        <s v="Tablet"/>
        <s v="Keyboard"/>
        <s v="Monitor"/>
        <s v="Printer"/>
      </sharedItems>
    </cacheField>
    <cacheField name="UnitsSold" numFmtId="0">
      <sharedItems containsSemiMixedTypes="0" containsString="0" containsNumber="1" containsInteger="1" minValue="6" maxValue="20"/>
    </cacheField>
    <cacheField name="UnitPrice" numFmtId="0">
      <sharedItems containsSemiMixedTypes="0" containsString="0" containsNumber="1" containsInteger="1" minValue="30" maxValue="800"/>
    </cacheField>
    <cacheField name="Tatal Price" numFmtId="164">
      <sharedItems containsSemiMixedTypes="0" containsString="0" containsNumber="1" containsInteger="1" minValue="270" maxValue="15200"/>
    </cacheField>
    <cacheField name="SalesPerson" numFmtId="0">
      <sharedItems/>
    </cacheField>
    <cacheField name="City" numFmtId="0">
      <sharedItems count="4">
        <s v="Mogadishu"/>
        <s v="Addis Ababa"/>
        <s v="Nairobi"/>
        <s v="Kampala"/>
      </sharedItems>
    </cacheField>
    <cacheField name="Country" numFmtId="0">
      <sharedItems count="4">
        <s v=" Somalia"/>
        <s v=" Ethiopia"/>
        <s v=" Kenya"/>
        <s v=" Ugan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NV100"/>
    <s v="2024-10-16"/>
    <x v="0"/>
    <n v="12"/>
    <n v="800"/>
    <n v="9600"/>
    <s v="Qamaan"/>
    <x v="0"/>
    <x v="0"/>
  </r>
  <r>
    <s v="INV101"/>
    <s v="2023-08-17"/>
    <x v="1"/>
    <n v="18"/>
    <n v="50"/>
    <n v="900"/>
    <s v="Yusuf"/>
    <x v="0"/>
    <x v="0"/>
  </r>
  <r>
    <s v="INV102"/>
    <s v="2023-02-02"/>
    <x v="0"/>
    <n v="12"/>
    <n v="800"/>
    <n v="9600"/>
    <s v="Guled"/>
    <x v="0"/>
    <x v="0"/>
  </r>
  <r>
    <s v="INV103"/>
    <s v="2024-06-01"/>
    <x v="2"/>
    <n v="18"/>
    <n v="300"/>
    <n v="5400"/>
    <s v="Guled"/>
    <x v="0"/>
    <x v="0"/>
  </r>
  <r>
    <s v="INV104"/>
    <s v="2023-08-14"/>
    <x v="3"/>
    <n v="10"/>
    <n v="30"/>
    <n v="300"/>
    <s v="Yusuf"/>
    <x v="1"/>
    <x v="1"/>
  </r>
  <r>
    <s v="INV105"/>
    <s v="2024-12-15"/>
    <x v="3"/>
    <n v="9"/>
    <n v="30"/>
    <n v="270"/>
    <s v="Qamaan"/>
    <x v="1"/>
    <x v="1"/>
  </r>
  <r>
    <s v="INV106"/>
    <s v="2023-08-09"/>
    <x v="4"/>
    <n v="17"/>
    <n v="150"/>
    <n v="2550"/>
    <s v="Yusuf"/>
    <x v="0"/>
    <x v="0"/>
  </r>
  <r>
    <s v="INV107"/>
    <s v="2023-04-10"/>
    <x v="4"/>
    <n v="6"/>
    <n v="150"/>
    <n v="900"/>
    <s v="Qamaan"/>
    <x v="1"/>
    <x v="1"/>
  </r>
  <r>
    <s v="INV108"/>
    <s v="2024-04-15"/>
    <x v="2"/>
    <n v="7"/>
    <n v="300"/>
    <n v="2100"/>
    <s v="Guled"/>
    <x v="0"/>
    <x v="0"/>
  </r>
  <r>
    <s v="INV109"/>
    <s v="2024-07-19"/>
    <x v="4"/>
    <n v="7"/>
    <n v="150"/>
    <n v="1050"/>
    <s v="Guled"/>
    <x v="1"/>
    <x v="1"/>
  </r>
  <r>
    <s v="INV110"/>
    <s v="2023-02-16"/>
    <x v="5"/>
    <n v="7"/>
    <n v="200"/>
    <n v="1400"/>
    <s v="Qamaan"/>
    <x v="2"/>
    <x v="2"/>
  </r>
  <r>
    <s v="INV111"/>
    <s v="2023-08-27"/>
    <x v="0"/>
    <n v="19"/>
    <n v="800"/>
    <n v="15200"/>
    <s v="Qamaan"/>
    <x v="3"/>
    <x v="3"/>
  </r>
  <r>
    <s v="INV112"/>
    <s v="2024-10-12"/>
    <x v="4"/>
    <n v="16"/>
    <n v="150"/>
    <n v="2400"/>
    <s v="Qamaan"/>
    <x v="2"/>
    <x v="2"/>
  </r>
  <r>
    <s v="INV113"/>
    <s v="2023-08-03"/>
    <x v="5"/>
    <n v="10"/>
    <n v="200"/>
    <n v="2000"/>
    <s v="Yusuf"/>
    <x v="1"/>
    <x v="1"/>
  </r>
  <r>
    <s v="INV114"/>
    <s v="2024-06-30"/>
    <x v="5"/>
    <n v="19"/>
    <n v="200"/>
    <n v="3800"/>
    <s v="Guled"/>
    <x v="2"/>
    <x v="2"/>
  </r>
  <r>
    <s v="INV115"/>
    <s v="2024-01-24"/>
    <x v="4"/>
    <n v="6"/>
    <n v="150"/>
    <n v="900"/>
    <s v="Qamaan"/>
    <x v="2"/>
    <x v="2"/>
  </r>
  <r>
    <s v="INV116"/>
    <s v="2023-08-23"/>
    <x v="0"/>
    <n v="13"/>
    <n v="800"/>
    <n v="10400"/>
    <s v="Guled"/>
    <x v="1"/>
    <x v="1"/>
  </r>
  <r>
    <s v="INV117"/>
    <s v="2023-03-09"/>
    <x v="1"/>
    <n v="20"/>
    <n v="50"/>
    <n v="1000"/>
    <s v="Yusuf"/>
    <x v="1"/>
    <x v="1"/>
  </r>
  <r>
    <s v="INV118"/>
    <s v="2024-02-10"/>
    <x v="5"/>
    <n v="13"/>
    <n v="200"/>
    <n v="2600"/>
    <s v="Yusuf"/>
    <x v="3"/>
    <x v="3"/>
  </r>
  <r>
    <s v="INV119"/>
    <s v="2023-05-23"/>
    <x v="1"/>
    <n v="17"/>
    <n v="50"/>
    <n v="850"/>
    <s v="Guled"/>
    <x v="1"/>
    <x v="1"/>
  </r>
  <r>
    <s v="INV120"/>
    <s v="2024-01-06"/>
    <x v="1"/>
    <n v="7"/>
    <n v="50"/>
    <n v="350"/>
    <s v="Guled"/>
    <x v="2"/>
    <x v="2"/>
  </r>
  <r>
    <s v="INV121"/>
    <s v="2023-02-18"/>
    <x v="0"/>
    <n v="18"/>
    <n v="800"/>
    <n v="14400"/>
    <s v="Yusuf"/>
    <x v="2"/>
    <x v="2"/>
  </r>
  <r>
    <s v="INV122"/>
    <s v="2024-09-02"/>
    <x v="0"/>
    <n v="19"/>
    <n v="800"/>
    <n v="15200"/>
    <s v="Guled"/>
    <x v="3"/>
    <x v="3"/>
  </r>
  <r>
    <s v="INV123"/>
    <s v="2024-06-25"/>
    <x v="4"/>
    <n v="13"/>
    <n v="150"/>
    <n v="1950"/>
    <s v="Yusuf"/>
    <x v="0"/>
    <x v="0"/>
  </r>
  <r>
    <s v="INV124"/>
    <s v="2024-10-18"/>
    <x v="4"/>
    <n v="18"/>
    <n v="150"/>
    <n v="2700"/>
    <s v="Qamaan"/>
    <x v="0"/>
    <x v="0"/>
  </r>
  <r>
    <s v="INV125"/>
    <s v="2023-06-11"/>
    <x v="3"/>
    <n v="10"/>
    <n v="30"/>
    <n v="300"/>
    <s v="Qamaan"/>
    <x v="0"/>
    <x v="0"/>
  </r>
  <r>
    <s v="INV126"/>
    <s v="2024-06-03"/>
    <x v="0"/>
    <n v="9"/>
    <n v="800"/>
    <n v="7200"/>
    <s v="Yusuf"/>
    <x v="1"/>
    <x v="1"/>
  </r>
  <r>
    <s v="INV127"/>
    <s v="2024-01-18"/>
    <x v="1"/>
    <n v="20"/>
    <n v="50"/>
    <n v="1000"/>
    <s v="Qamaan"/>
    <x v="0"/>
    <x v="0"/>
  </r>
  <r>
    <s v="INV128"/>
    <s v="2023-01-20"/>
    <x v="0"/>
    <n v="12"/>
    <n v="800"/>
    <n v="9600"/>
    <s v="Qamaan"/>
    <x v="1"/>
    <x v="1"/>
  </r>
  <r>
    <s v="INV129"/>
    <s v="2023-03-01"/>
    <x v="1"/>
    <n v="20"/>
    <n v="50"/>
    <n v="1000"/>
    <s v="Guled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6235D-1DCC-4BFE-949C-876AA36814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20:L25" firstHeaderRow="1" firstDataRow="1" firstDataCol="1"/>
  <pivotFields count="9">
    <pivotField compact="0" outline="0" showAll="0"/>
    <pivotField compact="0" outline="0" showAll="0"/>
    <pivotField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atal Price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EA3E5-8ADC-428C-98A9-512A0D0114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12:L17" firstHeaderRow="1" firstDataRow="1" firstDataCol="1"/>
  <pivotFields count="9">
    <pivotField compact="0" outline="0" showAll="0"/>
    <pivotField compact="0" outline="0" showAll="0"/>
    <pivotField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atal Price" fld="5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F2CB6-44D9-418C-89FB-6A846DFDA0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K2:L9" firstHeaderRow="1" firstDataRow="1" firstDataCol="1"/>
  <pivotFields count="9"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4"/>
        <item x="5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atal Price" fld="5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21B5B-7659-484A-85E1-06AB033755E9}" name="Table1" displayName="Table1" ref="A1:I31" totalsRowShown="0" headerRowDxfId="3" headerRowBorderDxfId="2" tableBorderDxfId="1">
  <autoFilter ref="A1:I31" xr:uid="{C6221B5B-7659-484A-85E1-06AB033755E9}"/>
  <tableColumns count="9">
    <tableColumn id="1" xr3:uid="{EADBDFF3-2D10-445B-AAF6-8EC6F7AFC665}" name="InvoiceID"/>
    <tableColumn id="2" xr3:uid="{7F6D4579-EF50-43AD-94B1-477FEF032697}" name="Date"/>
    <tableColumn id="3" xr3:uid="{E26453F0-D0CC-427D-A299-6971FEF368D2}" name="Product"/>
    <tableColumn id="4" xr3:uid="{DAA7DD7D-2835-4DB5-8874-19CBEB29F9F3}" name="UnitsSold"/>
    <tableColumn id="5" xr3:uid="{7C51E8F5-1BBE-4589-A554-D1D3BADEA59B}" name="UnitPrice"/>
    <tableColumn id="9" xr3:uid="{239DBFB6-2A19-4453-93AF-DE05923591AE}" name="Tatal Price" dataDxfId="0">
      <calculatedColumnFormula>(Table1[[#This Row],[UnitsSold]]*Table1[[#This Row],[UnitPrice]])</calculatedColumnFormula>
    </tableColumn>
    <tableColumn id="6" xr3:uid="{AB18905A-0D4E-4FB7-9D3E-E5F59F940F16}" name="SalesPerson"/>
    <tableColumn id="7" xr3:uid="{08AC08C8-10B5-4624-B6AA-510126121C15}" name="City"/>
    <tableColumn id="8" xr3:uid="{96562EA6-D600-4D4F-BE7B-BDAAA255F877}" name="Count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DA79-55FF-465D-ADB8-BD6D940C240D}">
  <dimension ref="A1:L31"/>
  <sheetViews>
    <sheetView tabSelected="1" zoomScale="129" workbookViewId="0">
      <selection activeCell="D4" sqref="D4"/>
    </sheetView>
  </sheetViews>
  <sheetFormatPr defaultRowHeight="14.5" x14ac:dyDescent="0.35"/>
  <cols>
    <col min="2" max="2" width="10.08984375" bestFit="1" customWidth="1"/>
    <col min="3" max="3" width="11.90625" bestFit="1" customWidth="1"/>
    <col min="4" max="4" width="13.54296875" bestFit="1" customWidth="1"/>
    <col min="5" max="5" width="13.1796875" bestFit="1" customWidth="1"/>
    <col min="6" max="6" width="14.08984375" bestFit="1" customWidth="1"/>
    <col min="7" max="7" width="15.6328125" bestFit="1" customWidth="1"/>
    <col min="8" max="8" width="10.7265625" bestFit="1" customWidth="1"/>
    <col min="9" max="9" width="12" bestFit="1" customWidth="1"/>
    <col min="11" max="11" width="11" bestFit="1" customWidth="1"/>
    <col min="12" max="12" width="15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35">
      <c r="A2" t="s">
        <v>9</v>
      </c>
      <c r="B2" t="s">
        <v>10</v>
      </c>
      <c r="C2" t="s">
        <v>11</v>
      </c>
      <c r="D2">
        <v>12</v>
      </c>
      <c r="E2">
        <v>800</v>
      </c>
      <c r="F2" s="2">
        <f>(Table1[[#This Row],[UnitsSold]]*Table1[[#This Row],[UnitPrice]])</f>
        <v>9600</v>
      </c>
      <c r="G2" t="s">
        <v>12</v>
      </c>
      <c r="H2" t="s">
        <v>13</v>
      </c>
      <c r="I2" t="s">
        <v>14</v>
      </c>
      <c r="K2" s="3" t="s">
        <v>2</v>
      </c>
      <c r="L2" t="s">
        <v>86</v>
      </c>
    </row>
    <row r="3" spans="1:12" x14ac:dyDescent="0.35">
      <c r="A3" t="s">
        <v>15</v>
      </c>
      <c r="B3" t="s">
        <v>16</v>
      </c>
      <c r="C3" t="s">
        <v>17</v>
      </c>
      <c r="D3">
        <v>18</v>
      </c>
      <c r="E3">
        <v>50</v>
      </c>
      <c r="F3" s="2">
        <f>(Table1[[#This Row],[UnitsSold]]*Table1[[#This Row],[UnitPrice]])</f>
        <v>900</v>
      </c>
      <c r="G3" t="s">
        <v>18</v>
      </c>
      <c r="H3" t="s">
        <v>13</v>
      </c>
      <c r="I3" t="s">
        <v>14</v>
      </c>
      <c r="K3" t="s">
        <v>17</v>
      </c>
      <c r="L3" s="2">
        <v>5100</v>
      </c>
    </row>
    <row r="4" spans="1:12" x14ac:dyDescent="0.35">
      <c r="A4" t="s">
        <v>19</v>
      </c>
      <c r="B4" t="s">
        <v>20</v>
      </c>
      <c r="C4" t="s">
        <v>11</v>
      </c>
      <c r="D4">
        <v>12</v>
      </c>
      <c r="E4">
        <v>800</v>
      </c>
      <c r="F4" s="2">
        <f>(Table1[[#This Row],[UnitsSold]]*Table1[[#This Row],[UnitPrice]])</f>
        <v>9600</v>
      </c>
      <c r="G4" t="s">
        <v>21</v>
      </c>
      <c r="H4" t="s">
        <v>13</v>
      </c>
      <c r="I4" t="s">
        <v>14</v>
      </c>
      <c r="K4" t="s">
        <v>27</v>
      </c>
      <c r="L4" s="2">
        <v>870</v>
      </c>
    </row>
    <row r="5" spans="1:12" x14ac:dyDescent="0.35">
      <c r="A5" t="s">
        <v>22</v>
      </c>
      <c r="B5" t="s">
        <v>23</v>
      </c>
      <c r="C5" t="s">
        <v>24</v>
      </c>
      <c r="D5">
        <v>18</v>
      </c>
      <c r="E5">
        <v>300</v>
      </c>
      <c r="F5" s="2">
        <f>(Table1[[#This Row],[UnitsSold]]*Table1[[#This Row],[UnitPrice]])</f>
        <v>5400</v>
      </c>
      <c r="G5" t="s">
        <v>21</v>
      </c>
      <c r="H5" t="s">
        <v>13</v>
      </c>
      <c r="I5" t="s">
        <v>14</v>
      </c>
      <c r="K5" t="s">
        <v>11</v>
      </c>
      <c r="L5" s="2">
        <v>91200</v>
      </c>
    </row>
    <row r="6" spans="1:12" x14ac:dyDescent="0.35">
      <c r="A6" t="s">
        <v>25</v>
      </c>
      <c r="B6" t="s">
        <v>26</v>
      </c>
      <c r="C6" t="s">
        <v>27</v>
      </c>
      <c r="D6">
        <v>10</v>
      </c>
      <c r="E6">
        <v>30</v>
      </c>
      <c r="F6" s="2">
        <f>(Table1[[#This Row],[UnitsSold]]*Table1[[#This Row],[UnitPrice]])</f>
        <v>300</v>
      </c>
      <c r="G6" t="s">
        <v>18</v>
      </c>
      <c r="H6" t="s">
        <v>28</v>
      </c>
      <c r="I6" t="s">
        <v>29</v>
      </c>
      <c r="K6" t="s">
        <v>34</v>
      </c>
      <c r="L6" s="2">
        <v>12450</v>
      </c>
    </row>
    <row r="7" spans="1:12" x14ac:dyDescent="0.35">
      <c r="A7" t="s">
        <v>30</v>
      </c>
      <c r="B7" t="s">
        <v>31</v>
      </c>
      <c r="C7" t="s">
        <v>27</v>
      </c>
      <c r="D7">
        <v>9</v>
      </c>
      <c r="E7">
        <v>30</v>
      </c>
      <c r="F7" s="2">
        <f>(Table1[[#This Row],[UnitsSold]]*Table1[[#This Row],[UnitPrice]])</f>
        <v>270</v>
      </c>
      <c r="G7" t="s">
        <v>12</v>
      </c>
      <c r="H7" t="s">
        <v>28</v>
      </c>
      <c r="I7" t="s">
        <v>29</v>
      </c>
      <c r="K7" t="s">
        <v>43</v>
      </c>
      <c r="L7" s="2">
        <v>9800</v>
      </c>
    </row>
    <row r="8" spans="1:12" x14ac:dyDescent="0.35">
      <c r="A8" t="s">
        <v>32</v>
      </c>
      <c r="B8" t="s">
        <v>33</v>
      </c>
      <c r="C8" t="s">
        <v>34</v>
      </c>
      <c r="D8">
        <v>17</v>
      </c>
      <c r="E8">
        <v>150</v>
      </c>
      <c r="F8" s="2">
        <f>(Table1[[#This Row],[UnitsSold]]*Table1[[#This Row],[UnitPrice]])</f>
        <v>2550</v>
      </c>
      <c r="G8" t="s">
        <v>18</v>
      </c>
      <c r="H8" t="s">
        <v>13</v>
      </c>
      <c r="I8" t="s">
        <v>14</v>
      </c>
      <c r="K8" t="s">
        <v>24</v>
      </c>
      <c r="L8" s="2">
        <v>7500</v>
      </c>
    </row>
    <row r="9" spans="1:12" x14ac:dyDescent="0.35">
      <c r="A9" t="s">
        <v>35</v>
      </c>
      <c r="B9" t="s">
        <v>36</v>
      </c>
      <c r="C9" t="s">
        <v>34</v>
      </c>
      <c r="D9">
        <v>6</v>
      </c>
      <c r="E9">
        <v>150</v>
      </c>
      <c r="F9" s="2">
        <f>(Table1[[#This Row],[UnitsSold]]*Table1[[#This Row],[UnitPrice]])</f>
        <v>900</v>
      </c>
      <c r="G9" t="s">
        <v>12</v>
      </c>
      <c r="H9" t="s">
        <v>28</v>
      </c>
      <c r="I9" t="s">
        <v>29</v>
      </c>
      <c r="K9" t="s">
        <v>87</v>
      </c>
      <c r="L9" s="2">
        <v>126920</v>
      </c>
    </row>
    <row r="10" spans="1:12" x14ac:dyDescent="0.35">
      <c r="A10" t="s">
        <v>37</v>
      </c>
      <c r="B10" t="s">
        <v>38</v>
      </c>
      <c r="C10" t="s">
        <v>24</v>
      </c>
      <c r="D10">
        <v>7</v>
      </c>
      <c r="E10">
        <v>300</v>
      </c>
      <c r="F10" s="2">
        <f>(Table1[[#This Row],[UnitsSold]]*Table1[[#This Row],[UnitPrice]])</f>
        <v>2100</v>
      </c>
      <c r="G10" t="s">
        <v>21</v>
      </c>
      <c r="H10" t="s">
        <v>13</v>
      </c>
      <c r="I10" t="s">
        <v>14</v>
      </c>
    </row>
    <row r="11" spans="1:12" x14ac:dyDescent="0.35">
      <c r="A11" t="s">
        <v>39</v>
      </c>
      <c r="B11" t="s">
        <v>40</v>
      </c>
      <c r="C11" t="s">
        <v>34</v>
      </c>
      <c r="D11">
        <v>7</v>
      </c>
      <c r="E11">
        <v>150</v>
      </c>
      <c r="F11" s="2">
        <f>(Table1[[#This Row],[UnitsSold]]*Table1[[#This Row],[UnitPrice]])</f>
        <v>1050</v>
      </c>
      <c r="G11" t="s">
        <v>21</v>
      </c>
      <c r="H11" t="s">
        <v>28</v>
      </c>
      <c r="I11" t="s">
        <v>29</v>
      </c>
    </row>
    <row r="12" spans="1:12" x14ac:dyDescent="0.35">
      <c r="A12" t="s">
        <v>41</v>
      </c>
      <c r="B12" t="s">
        <v>42</v>
      </c>
      <c r="C12" t="s">
        <v>43</v>
      </c>
      <c r="D12">
        <v>7</v>
      </c>
      <c r="E12">
        <v>200</v>
      </c>
      <c r="F12" s="2">
        <f>(Table1[[#This Row],[UnitsSold]]*Table1[[#This Row],[UnitPrice]])</f>
        <v>1400</v>
      </c>
      <c r="G12" t="s">
        <v>12</v>
      </c>
      <c r="H12" t="s">
        <v>44</v>
      </c>
      <c r="I12" t="s">
        <v>45</v>
      </c>
      <c r="K12" s="3" t="s">
        <v>8</v>
      </c>
      <c r="L12" t="s">
        <v>86</v>
      </c>
    </row>
    <row r="13" spans="1:12" x14ac:dyDescent="0.35">
      <c r="A13" t="s">
        <v>46</v>
      </c>
      <c r="B13" t="s">
        <v>47</v>
      </c>
      <c r="C13" t="s">
        <v>11</v>
      </c>
      <c r="D13">
        <v>19</v>
      </c>
      <c r="E13">
        <v>800</v>
      </c>
      <c r="F13" s="2">
        <f>(Table1[[#This Row],[UnitsSold]]*Table1[[#This Row],[UnitPrice]])</f>
        <v>15200</v>
      </c>
      <c r="G13" t="s">
        <v>12</v>
      </c>
      <c r="H13" t="s">
        <v>48</v>
      </c>
      <c r="I13" t="s">
        <v>49</v>
      </c>
      <c r="K13" t="s">
        <v>29</v>
      </c>
      <c r="L13" s="2">
        <v>33570</v>
      </c>
    </row>
    <row r="14" spans="1:12" x14ac:dyDescent="0.35">
      <c r="A14" t="s">
        <v>50</v>
      </c>
      <c r="B14" t="s">
        <v>51</v>
      </c>
      <c r="C14" t="s">
        <v>34</v>
      </c>
      <c r="D14">
        <v>16</v>
      </c>
      <c r="E14">
        <v>150</v>
      </c>
      <c r="F14" s="2">
        <f>(Table1[[#This Row],[UnitsSold]]*Table1[[#This Row],[UnitPrice]])</f>
        <v>2400</v>
      </c>
      <c r="G14" t="s">
        <v>12</v>
      </c>
      <c r="H14" t="s">
        <v>44</v>
      </c>
      <c r="I14" t="s">
        <v>45</v>
      </c>
      <c r="K14" t="s">
        <v>45</v>
      </c>
      <c r="L14" s="2">
        <v>23250</v>
      </c>
    </row>
    <row r="15" spans="1:12" x14ac:dyDescent="0.35">
      <c r="A15" t="s">
        <v>52</v>
      </c>
      <c r="B15" t="s">
        <v>53</v>
      </c>
      <c r="C15" t="s">
        <v>43</v>
      </c>
      <c r="D15">
        <v>10</v>
      </c>
      <c r="E15">
        <v>200</v>
      </c>
      <c r="F15" s="2">
        <f>(Table1[[#This Row],[UnitsSold]]*Table1[[#This Row],[UnitPrice]])</f>
        <v>2000</v>
      </c>
      <c r="G15" t="s">
        <v>18</v>
      </c>
      <c r="H15" t="s">
        <v>28</v>
      </c>
      <c r="I15" t="s">
        <v>29</v>
      </c>
      <c r="K15" t="s">
        <v>14</v>
      </c>
      <c r="L15" s="2">
        <v>37100</v>
      </c>
    </row>
    <row r="16" spans="1:12" x14ac:dyDescent="0.35">
      <c r="A16" t="s">
        <v>54</v>
      </c>
      <c r="B16" t="s">
        <v>55</v>
      </c>
      <c r="C16" t="s">
        <v>43</v>
      </c>
      <c r="D16">
        <v>19</v>
      </c>
      <c r="E16">
        <v>200</v>
      </c>
      <c r="F16" s="2">
        <f>(Table1[[#This Row],[UnitsSold]]*Table1[[#This Row],[UnitPrice]])</f>
        <v>3800</v>
      </c>
      <c r="G16" t="s">
        <v>21</v>
      </c>
      <c r="H16" t="s">
        <v>44</v>
      </c>
      <c r="I16" t="s">
        <v>45</v>
      </c>
      <c r="K16" t="s">
        <v>49</v>
      </c>
      <c r="L16" s="2">
        <v>33000</v>
      </c>
    </row>
    <row r="17" spans="1:12" x14ac:dyDescent="0.35">
      <c r="A17" t="s">
        <v>56</v>
      </c>
      <c r="B17" t="s">
        <v>57</v>
      </c>
      <c r="C17" t="s">
        <v>34</v>
      </c>
      <c r="D17">
        <v>6</v>
      </c>
      <c r="E17">
        <v>150</v>
      </c>
      <c r="F17" s="2">
        <f>(Table1[[#This Row],[UnitsSold]]*Table1[[#This Row],[UnitPrice]])</f>
        <v>900</v>
      </c>
      <c r="G17" t="s">
        <v>12</v>
      </c>
      <c r="H17" t="s">
        <v>44</v>
      </c>
      <c r="I17" t="s">
        <v>45</v>
      </c>
      <c r="K17" t="s">
        <v>87</v>
      </c>
      <c r="L17" s="2">
        <v>126920</v>
      </c>
    </row>
    <row r="18" spans="1:12" x14ac:dyDescent="0.35">
      <c r="A18" t="s">
        <v>58</v>
      </c>
      <c r="B18" t="s">
        <v>59</v>
      </c>
      <c r="C18" t="s">
        <v>11</v>
      </c>
      <c r="D18">
        <v>13</v>
      </c>
      <c r="E18">
        <v>800</v>
      </c>
      <c r="F18" s="2">
        <f>(Table1[[#This Row],[UnitsSold]]*Table1[[#This Row],[UnitPrice]])</f>
        <v>10400</v>
      </c>
      <c r="G18" t="s">
        <v>21</v>
      </c>
      <c r="H18" t="s">
        <v>28</v>
      </c>
      <c r="I18" t="s">
        <v>29</v>
      </c>
    </row>
    <row r="19" spans="1:12" x14ac:dyDescent="0.35">
      <c r="A19" t="s">
        <v>60</v>
      </c>
      <c r="B19" t="s">
        <v>61</v>
      </c>
      <c r="C19" t="s">
        <v>17</v>
      </c>
      <c r="D19">
        <v>20</v>
      </c>
      <c r="E19">
        <v>50</v>
      </c>
      <c r="F19" s="2">
        <f>(Table1[[#This Row],[UnitsSold]]*Table1[[#This Row],[UnitPrice]])</f>
        <v>1000</v>
      </c>
      <c r="G19" t="s">
        <v>18</v>
      </c>
      <c r="H19" t="s">
        <v>28</v>
      </c>
      <c r="I19" t="s">
        <v>29</v>
      </c>
    </row>
    <row r="20" spans="1:12" x14ac:dyDescent="0.35">
      <c r="A20" t="s">
        <v>62</v>
      </c>
      <c r="B20" t="s">
        <v>63</v>
      </c>
      <c r="C20" t="s">
        <v>43</v>
      </c>
      <c r="D20">
        <v>13</v>
      </c>
      <c r="E20">
        <v>200</v>
      </c>
      <c r="F20" s="2">
        <f>(Table1[[#This Row],[UnitsSold]]*Table1[[#This Row],[UnitPrice]])</f>
        <v>2600</v>
      </c>
      <c r="G20" t="s">
        <v>18</v>
      </c>
      <c r="H20" t="s">
        <v>48</v>
      </c>
      <c r="I20" t="s">
        <v>49</v>
      </c>
      <c r="K20" s="3" t="s">
        <v>7</v>
      </c>
      <c r="L20" t="s">
        <v>86</v>
      </c>
    </row>
    <row r="21" spans="1:12" x14ac:dyDescent="0.35">
      <c r="A21" t="s">
        <v>64</v>
      </c>
      <c r="B21" t="s">
        <v>65</v>
      </c>
      <c r="C21" t="s">
        <v>17</v>
      </c>
      <c r="D21">
        <v>17</v>
      </c>
      <c r="E21">
        <v>50</v>
      </c>
      <c r="F21" s="2">
        <f>(Table1[[#This Row],[UnitsSold]]*Table1[[#This Row],[UnitPrice]])</f>
        <v>850</v>
      </c>
      <c r="G21" t="s">
        <v>21</v>
      </c>
      <c r="H21" t="s">
        <v>28</v>
      </c>
      <c r="I21" t="s">
        <v>29</v>
      </c>
      <c r="K21" t="s">
        <v>28</v>
      </c>
      <c r="L21" s="2">
        <v>33570</v>
      </c>
    </row>
    <row r="22" spans="1:12" x14ac:dyDescent="0.35">
      <c r="A22" t="s">
        <v>66</v>
      </c>
      <c r="B22" t="s">
        <v>67</v>
      </c>
      <c r="C22" t="s">
        <v>17</v>
      </c>
      <c r="D22">
        <v>7</v>
      </c>
      <c r="E22">
        <v>50</v>
      </c>
      <c r="F22" s="2">
        <f>(Table1[[#This Row],[UnitsSold]]*Table1[[#This Row],[UnitPrice]])</f>
        <v>350</v>
      </c>
      <c r="G22" t="s">
        <v>21</v>
      </c>
      <c r="H22" t="s">
        <v>44</v>
      </c>
      <c r="I22" t="s">
        <v>45</v>
      </c>
      <c r="K22" t="s">
        <v>48</v>
      </c>
      <c r="L22" s="2">
        <v>33000</v>
      </c>
    </row>
    <row r="23" spans="1:12" x14ac:dyDescent="0.35">
      <c r="A23" t="s">
        <v>68</v>
      </c>
      <c r="B23" t="s">
        <v>69</v>
      </c>
      <c r="C23" t="s">
        <v>11</v>
      </c>
      <c r="D23">
        <v>18</v>
      </c>
      <c r="E23">
        <v>800</v>
      </c>
      <c r="F23" s="2">
        <f>(Table1[[#This Row],[UnitsSold]]*Table1[[#This Row],[UnitPrice]])</f>
        <v>14400</v>
      </c>
      <c r="G23" t="s">
        <v>18</v>
      </c>
      <c r="H23" t="s">
        <v>44</v>
      </c>
      <c r="I23" t="s">
        <v>45</v>
      </c>
      <c r="K23" t="s">
        <v>13</v>
      </c>
      <c r="L23" s="2">
        <v>37100</v>
      </c>
    </row>
    <row r="24" spans="1:12" x14ac:dyDescent="0.35">
      <c r="A24" t="s">
        <v>70</v>
      </c>
      <c r="B24" t="s">
        <v>71</v>
      </c>
      <c r="C24" t="s">
        <v>11</v>
      </c>
      <c r="D24">
        <v>19</v>
      </c>
      <c r="E24">
        <v>800</v>
      </c>
      <c r="F24" s="2">
        <f>(Table1[[#This Row],[UnitsSold]]*Table1[[#This Row],[UnitPrice]])</f>
        <v>15200</v>
      </c>
      <c r="G24" t="s">
        <v>21</v>
      </c>
      <c r="H24" t="s">
        <v>48</v>
      </c>
      <c r="I24" t="s">
        <v>49</v>
      </c>
      <c r="K24" t="s">
        <v>44</v>
      </c>
      <c r="L24" s="2">
        <v>23250</v>
      </c>
    </row>
    <row r="25" spans="1:12" x14ac:dyDescent="0.35">
      <c r="A25" t="s">
        <v>72</v>
      </c>
      <c r="B25" t="s">
        <v>73</v>
      </c>
      <c r="C25" t="s">
        <v>34</v>
      </c>
      <c r="D25">
        <v>13</v>
      </c>
      <c r="E25">
        <v>150</v>
      </c>
      <c r="F25" s="2">
        <f>(Table1[[#This Row],[UnitsSold]]*Table1[[#This Row],[UnitPrice]])</f>
        <v>1950</v>
      </c>
      <c r="G25" t="s">
        <v>18</v>
      </c>
      <c r="H25" t="s">
        <v>13</v>
      </c>
      <c r="I25" t="s">
        <v>14</v>
      </c>
      <c r="K25" t="s">
        <v>87</v>
      </c>
      <c r="L25" s="2">
        <v>126920</v>
      </c>
    </row>
    <row r="26" spans="1:12" x14ac:dyDescent="0.35">
      <c r="A26" t="s">
        <v>74</v>
      </c>
      <c r="B26" t="s">
        <v>75</v>
      </c>
      <c r="C26" t="s">
        <v>34</v>
      </c>
      <c r="D26">
        <v>18</v>
      </c>
      <c r="E26">
        <v>150</v>
      </c>
      <c r="F26" s="2">
        <f>(Table1[[#This Row],[UnitsSold]]*Table1[[#This Row],[UnitPrice]])</f>
        <v>2700</v>
      </c>
      <c r="G26" t="s">
        <v>12</v>
      </c>
      <c r="H26" t="s">
        <v>13</v>
      </c>
      <c r="I26" t="s">
        <v>14</v>
      </c>
    </row>
    <row r="27" spans="1:12" x14ac:dyDescent="0.35">
      <c r="A27" t="s">
        <v>76</v>
      </c>
      <c r="B27" t="s">
        <v>77</v>
      </c>
      <c r="C27" t="s">
        <v>27</v>
      </c>
      <c r="D27">
        <v>10</v>
      </c>
      <c r="E27">
        <v>30</v>
      </c>
      <c r="F27" s="2">
        <f>(Table1[[#This Row],[UnitsSold]]*Table1[[#This Row],[UnitPrice]])</f>
        <v>300</v>
      </c>
      <c r="G27" t="s">
        <v>12</v>
      </c>
      <c r="H27" t="s">
        <v>13</v>
      </c>
      <c r="I27" t="s">
        <v>14</v>
      </c>
    </row>
    <row r="28" spans="1:12" x14ac:dyDescent="0.35">
      <c r="A28" t="s">
        <v>78</v>
      </c>
      <c r="B28" t="s">
        <v>79</v>
      </c>
      <c r="C28" t="s">
        <v>11</v>
      </c>
      <c r="D28">
        <v>9</v>
      </c>
      <c r="E28">
        <v>800</v>
      </c>
      <c r="F28" s="2">
        <f>(Table1[[#This Row],[UnitsSold]]*Table1[[#This Row],[UnitPrice]])</f>
        <v>7200</v>
      </c>
      <c r="G28" t="s">
        <v>18</v>
      </c>
      <c r="H28" t="s">
        <v>28</v>
      </c>
      <c r="I28" t="s">
        <v>29</v>
      </c>
    </row>
    <row r="29" spans="1:12" x14ac:dyDescent="0.35">
      <c r="A29" t="s">
        <v>80</v>
      </c>
      <c r="B29" t="s">
        <v>81</v>
      </c>
      <c r="C29" t="s">
        <v>17</v>
      </c>
      <c r="D29">
        <v>20</v>
      </c>
      <c r="E29">
        <v>50</v>
      </c>
      <c r="F29" s="2">
        <f>(Table1[[#This Row],[UnitsSold]]*Table1[[#This Row],[UnitPrice]])</f>
        <v>1000</v>
      </c>
      <c r="G29" t="s">
        <v>12</v>
      </c>
      <c r="H29" t="s">
        <v>13</v>
      </c>
      <c r="I29" t="s">
        <v>14</v>
      </c>
    </row>
    <row r="30" spans="1:12" x14ac:dyDescent="0.35">
      <c r="A30" t="s">
        <v>82</v>
      </c>
      <c r="B30" t="s">
        <v>83</v>
      </c>
      <c r="C30" t="s">
        <v>11</v>
      </c>
      <c r="D30">
        <v>12</v>
      </c>
      <c r="E30">
        <v>800</v>
      </c>
      <c r="F30" s="2">
        <f>(Table1[[#This Row],[UnitsSold]]*Table1[[#This Row],[UnitPrice]])</f>
        <v>9600</v>
      </c>
      <c r="G30" t="s">
        <v>12</v>
      </c>
      <c r="H30" t="s">
        <v>28</v>
      </c>
      <c r="I30" t="s">
        <v>29</v>
      </c>
    </row>
    <row r="31" spans="1:12" x14ac:dyDescent="0.35">
      <c r="A31" t="s">
        <v>84</v>
      </c>
      <c r="B31" t="s">
        <v>85</v>
      </c>
      <c r="C31" t="s">
        <v>17</v>
      </c>
      <c r="D31">
        <v>20</v>
      </c>
      <c r="E31">
        <v>50</v>
      </c>
      <c r="F31" s="2">
        <f>(Table1[[#This Row],[UnitsSold]]*Table1[[#This Row],[UnitPrice]])</f>
        <v>1000</v>
      </c>
      <c r="G31" t="s">
        <v>21</v>
      </c>
      <c r="H31" t="s">
        <v>13</v>
      </c>
      <c r="I31" t="s">
        <v>14</v>
      </c>
    </row>
  </sheetData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2025-12-05T17:09:43Z</dcterms:created>
  <dcterms:modified xsi:type="dcterms:W3CDTF">2025-12-06T21:13:53Z</dcterms:modified>
</cp:coreProperties>
</file>